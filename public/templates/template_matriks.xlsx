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849" visibility="visible"/>
  </bookViews>
  <sheets>
    <sheet name="Matrix FCR" sheetId="1" r:id="rId4"/>
  </sheets>
  <definedNames>
    <definedName name="_1__123Graph_Aｸﾞﾗﾌ_7" localSheetId="0">#REF!</definedName>
    <definedName name="_1__123Graph_Aｸﾞﾗﾌ_7">#REF!</definedName>
    <definedName name="_2__123Graph_Bｸﾞﾗﾌ_7" localSheetId="0">#REF!</definedName>
    <definedName name="_2__123Graph_Bｸﾞﾗﾌ_7">#REF!</definedName>
    <definedName name="_3__123Graph_Cｸﾞﾗﾌ_7" localSheetId="0">#REF!</definedName>
    <definedName name="_3__123Graph_Cｸﾞﾗﾌ_7">#REF!</definedName>
    <definedName name="_4__123Graph_Dｸﾞﾗﾌ_7" localSheetId="0">#REF!</definedName>
    <definedName name="_4__123Graph_Dｸﾞﾗﾌ_7">#REF!</definedName>
    <definedName name="_5__123Graph_Eｸﾞﾗﾌ_7" localSheetId="0">#REF!</definedName>
    <definedName name="_5__123Graph_Eｸﾞﾗﾌ_7">#REF!</definedName>
    <definedName name="_6__123Graph_Fｸﾞﾗﾌ_7" localSheetId="0">#REF!</definedName>
    <definedName name="_6__123Graph_Fｸﾞﾗﾌ_7">#REF!</definedName>
    <definedName name="_A1">'{"''1996'!$A$1:$J$272"}</definedName>
    <definedName name="_A2">{"'Rekap 1'!$A$1:$E$18"}</definedName>
    <definedName name="_AA3">'{"''1996'!$A$1:$J$272"}</definedName>
    <definedName name="_aa4">'{"''1996'!$A$1:$J$272"}</definedName>
    <definedName name="_at1">1/EUReXToATS</definedName>
    <definedName name="_at2">1/EUReXToATS</definedName>
    <definedName name="_be1">1/EUReXToBEF</definedName>
    <definedName name="_de1">1/EUReXToDEM</definedName>
    <definedName name="_dld2">{"'Rekap 1'!$A$1:$E$18"}</definedName>
    <definedName name="_dld3">'{"''1996'!$A$1:$J$272"}</definedName>
    <definedName name="_fg1">1/EUReXToNLG</definedName>
    <definedName name="_fi1">1/EUReXToFIM</definedName>
    <definedName name="_Fill" localSheetId="0">#REF!</definedName>
    <definedName name="_Fill">#REF!</definedName>
    <definedName name="_fr1">1/EUReXToFRF</definedName>
    <definedName name="_gdf1">1/EUReXToFRF</definedName>
    <definedName name="_ie1">1/EUReXToIEP</definedName>
    <definedName name="_Key1" localSheetId="0">#REF!</definedName>
    <definedName name="_Key1">#REF!</definedName>
    <definedName name="_kwy1">{#N/A,#N/A,FALSE,"ALM-ASISC"}</definedName>
    <definedName name="_Order1">255</definedName>
    <definedName name="_pd10">'{"''Summary'!$A$1:$J$46"}</definedName>
    <definedName name="_PD11">'{"''Summary'!$A$1:$J$46"}</definedName>
    <definedName name="_pr1">{#N/A,#N/A,FALSE,"Deckblatt";#N/A,#N/A,FALSE,"KABEL";#N/A,#N/A,FALSE,"MATERIAL";#N/A,#N/A,FALSE,"DBHK"}</definedName>
    <definedName name="_S1">'{"''1996'!$A$1:$J$272"}</definedName>
    <definedName name="_SD30">'{"''Summary'!$A$1:$J$46"}</definedName>
    <definedName name="_Sort" localSheetId="0">#REF!</definedName>
    <definedName name="_Sort">#REF!</definedName>
    <definedName name="_SUM22" localSheetId="0">#REF!</definedName>
    <definedName name="_SUM22">#REF!</definedName>
    <definedName name="_YA1">'{"''1996'!$A$1:$J$272"}</definedName>
    <definedName name="a">{"'Rekap 1'!$A$1:$E$18"}</definedName>
    <definedName name="AA">'{"''1996'!$A$1:$J$272"}</definedName>
    <definedName name="AAA" localSheetId="0">#REF!</definedName>
    <definedName name="AAA">#REF!</definedName>
    <definedName name="AB">'{"''1996'!$A$1:$J$272"}</definedName>
    <definedName name="Access_Button">"일일bts납품현황_및_계획_OneShot__Sheet2_List"</definedName>
    <definedName name="AccessDatabase">"D:\피엠\BTS납품\일일bts납품현황 및 계획(OneShot).mdb"</definedName>
    <definedName name="AIP" localSheetId="0">#REF!</definedName>
    <definedName name="AIP">#REF!</definedName>
    <definedName name="akdkd">{#N/A,#N/A,FALSE,"ALM-ASISC"}</definedName>
    <definedName name="al">'{"''1996'!$A$1:$J$272"}</definedName>
    <definedName name="ANGSDLALU" localSheetId="0">#REF!</definedName>
    <definedName name="ANGSDLALU">#REF!</definedName>
    <definedName name="anscount">1</definedName>
    <definedName name="apa" localSheetId="0">#REF!</definedName>
    <definedName name="apa">#REF!</definedName>
    <definedName name="AREA" localSheetId="0">[1]RAPP!#REF!</definedName>
    <definedName name="AREA">[1]RAPP!#REF!</definedName>
    <definedName name="as">1/EUReXToFRF</definedName>
    <definedName name="asdasda">#REF!</definedName>
    <definedName name="ATSeXToEUR">1/EUReXToATS</definedName>
    <definedName name="B" localSheetId="0">#REF!</definedName>
    <definedName name="B">#REF!</definedName>
    <definedName name="baba" localSheetId="0">#REF!</definedName>
    <definedName name="baba">#REF!</definedName>
    <definedName name="ban">1/EUReXToFIM</definedName>
    <definedName name="BEFeXToEUR">1/EUReXToBEF</definedName>
    <definedName name="bego">{"'Rekap 1'!$A$1:$E$18"}</definedName>
    <definedName name="BobotKonversiJasa">'[2]BoQ'!$BV$7</definedName>
    <definedName name="BobotKonversiMaterial">'[2]BoQ'!$BU$7</definedName>
    <definedName name="BODP" localSheetId="0">#REF!</definedName>
    <definedName name="BODP">#REF!</definedName>
    <definedName name="BoQ">'{"''Sheet1'!$A$2:$G$59"}</definedName>
    <definedName name="BTS" localSheetId="0">#REF!</definedName>
    <definedName name="BTS">#REF!</definedName>
    <definedName name="BUA" localSheetId="0">#REF!</definedName>
    <definedName name="BUA">#REF!</definedName>
    <definedName name="budiiiii">'{"''1996'!$A$1:$J$272"}</definedName>
    <definedName name="CABANG" localSheetId="0">#REF!</definedName>
    <definedName name="CABANG">#REF!</definedName>
    <definedName name="can">{"'Rekap 1'!$A$1:$E$18"}</definedName>
    <definedName name="candi">'{"''1996'!$A$1:$J$272"}</definedName>
    <definedName name="CF">'{"''1996'!$A$1:$J$272"}</definedName>
    <definedName name="COBA">{"'Rekap 1'!$A$1:$E$18"}</definedName>
    <definedName name="ColScope_For_Deleted" localSheetId="0">#REF!</definedName>
    <definedName name="ColScope_For_Deleted">#REF!</definedName>
    <definedName name="csDesignMode">1</definedName>
    <definedName name="D">'{"''1996'!$A$1:$J$272"}</definedName>
    <definedName name="ddd">{#N/A,#N/A,FALSE,"ALM-ASISC"}</definedName>
    <definedName name="DDDD">{"'Rekap 1'!$A$1:$E$18"}</definedName>
    <definedName name="DEERF">#REF!,#REF!</definedName>
    <definedName name="DEMeXToEUR">1/EUReXToDEM</definedName>
    <definedName name="DHS" localSheetId="0">#REF!</definedName>
    <definedName name="DHS">#REF!</definedName>
    <definedName name="Divre5">{#N/A,#N/A,FALSE,"ALM-ASISC"}</definedName>
    <definedName name="dody">{"'Rekap 1'!$A$1:$E$18"}</definedName>
    <definedName name="ds" localSheetId="0">#REF!</definedName>
    <definedName name="ds">#REF!</definedName>
    <definedName name="Dubai">{#N/A,#N/A,FALSE,"ALM-ASISC"}</definedName>
    <definedName name="EEPE">'{"''Summary'!$A$1:$J$46"}</definedName>
    <definedName name="EEQ">'{"''Summary'!$A$1:$J$46"}</definedName>
    <definedName name="EndCell_for_PrintArea" localSheetId="0">#REF!</definedName>
    <definedName name="EndCell_for_PrintArea">#REF!</definedName>
    <definedName name="EndLine_for_EquipList" localSheetId="0">#REF!</definedName>
    <definedName name="EndLine_for_EquipList">#REF!</definedName>
    <definedName name="EndLine_for_TableTitle" localSheetId="0">#REF!</definedName>
    <definedName name="EndLine_for_TableTitle">#REF!</definedName>
    <definedName name="EndPos_of_PriceCol" localSheetId="0">#REF!</definedName>
    <definedName name="EndPos_of_PriceCol">#REF!</definedName>
    <definedName name="ESPeXToEUR">1/EUReXToESP</definedName>
    <definedName name="EUReXToATS">'[3]EurotoolsXRates'!$A$5</definedName>
    <definedName name="EUReXToBEF">'[3]EurotoolsXRates'!$A$6</definedName>
    <definedName name="EUReXToDEM">'[3]EurotoolsXRates'!$A$7</definedName>
    <definedName name="EUReXToESP">'[3]EurotoolsXRates'!$A$8</definedName>
    <definedName name="EUReXToFIM">'[3]EurotoolsXRates'!$A$9</definedName>
    <definedName name="EUReXToFRF">'[3]EurotoolsXRates'!$A$10</definedName>
    <definedName name="EUReXToIEP">'[3]EurotoolsXRates'!$A$11</definedName>
    <definedName name="EUReXToITL">'[3]EurotoolsXRates'!$A$12</definedName>
    <definedName name="EUReXToLUF">'[3]EurotoolsXRates'!$A$13</definedName>
    <definedName name="EUReXToNLG">'[3]EurotoolsXRates'!$A$14</definedName>
    <definedName name="EUReXToPTE">'[3]EurotoolsXRates'!$A$15</definedName>
    <definedName name="EW">'{"''Summary'!$A$1:$J$46"}</definedName>
    <definedName name="EWS">'{"''Summary'!$A$1:$J$46"}</definedName>
    <definedName name="Excel_BuiltIn__FilterDatabase_2_1" localSheetId="0">#REF!</definedName>
    <definedName name="Excel_BuiltIn__FilterDatabase_2_1">#REF!</definedName>
    <definedName name="Excel_BuiltIn_Print_Area_3" localSheetId="0">#REF!</definedName>
    <definedName name="Excel_BuiltIn_Print_Area_3">#REF!</definedName>
    <definedName name="Excel_BuiltIn_Print_Titles_1" localSheetId="0">#REF!,#REF!</definedName>
    <definedName name="Excel_BuiltIn_Print_Titles_1">#REF!,#REF!</definedName>
    <definedName name="Excel_BuiltIn_Print_Titles_2_1" localSheetId="0">#REF!,#REF!</definedName>
    <definedName name="Excel_BuiltIn_Print_Titles_2_1">#REF!,#REF!</definedName>
    <definedName name="Excel_BuiltIn_Print_Titles_2_1_1" localSheetId="0">#REF!,#REF!</definedName>
    <definedName name="Excel_BuiltIn_Print_Titles_2_1_1">#REF!,#REF!</definedName>
    <definedName name="F" localSheetId="0">#REF!</definedName>
    <definedName name="F">#REF!</definedName>
    <definedName name="fgfgfsdf">1/EUReXToNLG</definedName>
    <definedName name="FIMeXToEUR">1/EUReXToFIM</definedName>
    <definedName name="FOBLIST" localSheetId="0">#REF!</definedName>
    <definedName name="FOBLIST">#REF!</definedName>
    <definedName name="FRFeXToEUR">1/EUReXToFRF</definedName>
    <definedName name="g">'{"''1996'!$A$1:$J$272"}</definedName>
    <definedName name="gdf">1/EUReXToFRF</definedName>
    <definedName name="gile">{"'Rekap 1'!$A$1:$E$18"}</definedName>
    <definedName name="GILE2">{"'Rekap 1'!$A$1:$E$18"}</definedName>
    <definedName name="gra" localSheetId="0">#REF!</definedName>
    <definedName name="gra">#REF!</definedName>
    <definedName name="graph" localSheetId="0">#REF!</definedName>
    <definedName name="graph">#REF!</definedName>
    <definedName name="GRGRGR">#REF!</definedName>
    <definedName name="H" localSheetId="0">#REF!</definedName>
    <definedName name="H">#REF!</definedName>
    <definedName name="hh" localSheetId="0">#REF!</definedName>
    <definedName name="hh">#REF!</definedName>
    <definedName name="HTML_CodePage">1252</definedName>
    <definedName name="HTML_Control">'{"''Summary'!$A$1:$J$46"}</definedName>
    <definedName name="HTML_Description">""</definedName>
    <definedName name="HTML_Email">""</definedName>
    <definedName name="HTML_Header">"Summary"</definedName>
    <definedName name="HTML_LastUpdate">"15/9/97"</definedName>
    <definedName name="HTML_LineAfter">#REF!</definedName>
    <definedName name="HTML_LineBefore">#REF!</definedName>
    <definedName name="HTML_Name">"Luis Garcia-Villaraco Ruiz de Castañeda"</definedName>
    <definedName name="HTML_OBDlg2">#REF!</definedName>
    <definedName name="HTML_OBDlg4">#REF!</definedName>
    <definedName name="HTML_OS">0</definedName>
    <definedName name="HTML_PathFile">"C:\Project Office\a1540fl\HTML.htm"</definedName>
    <definedName name="HTML_Title">"COST_1540FL"</definedName>
    <definedName name="hyr" localSheetId="0">#REF!</definedName>
    <definedName name="hyr">#REF!</definedName>
    <definedName name="IEPeXToEUR">1/EUReXToIEP</definedName>
    <definedName name="Interconnect" localSheetId="0">#REF!</definedName>
    <definedName name="Interconnect">#REF!</definedName>
    <definedName name="INTERKON" localSheetId="0">#REF!</definedName>
    <definedName name="INTERKON">#REF!</definedName>
    <definedName name="ITLeXToEUR">1/EUReXToITL</definedName>
    <definedName name="iu">1/EUReXToFRF</definedName>
    <definedName name="IWFIC">{#N/A,#N/A,FALSE,"ALM-ASISC"}</definedName>
    <definedName name="J" localSheetId="0">#REF!</definedName>
    <definedName name="J">#REF!</definedName>
    <definedName name="jelasnya">'{"''1996'!$A$1:$J$272"}</definedName>
    <definedName name="jj" localSheetId="0">#REF!</definedName>
    <definedName name="jj">#REF!</definedName>
    <definedName name="jn">'{"''Summary'!$A$1:$J$46"}</definedName>
    <definedName name="ju">1/EUReXToFRF</definedName>
    <definedName name="KARYAWAN" localSheetId="0">#REF!</definedName>
    <definedName name="KARYAWAN">#REF!</definedName>
    <definedName name="KD" localSheetId="0">#REF!</definedName>
    <definedName name="KD">#REF!</definedName>
    <definedName name="kwy">{#N/A,#N/A,FALSE,"ALM-ASISC"}</definedName>
    <definedName name="LEVEL_3">#REF!</definedName>
    <definedName name="LineScope1_for_Deleted_Lifted" localSheetId="0">#REF!</definedName>
    <definedName name="LineScope1_for_Deleted_Lifted">#REF!</definedName>
    <definedName name="LUFeXToEUR">1/EUReXToLUF</definedName>
    <definedName name="m">'{"''1996'!$A$1:$J$272"}</definedName>
    <definedName name="MIN" localSheetId="0">#REF!</definedName>
    <definedName name="MIN">#REF!</definedName>
    <definedName name="MTP" localSheetId="0">#REF!</definedName>
    <definedName name="MTP">#REF!</definedName>
    <definedName name="NLGeXToEUR">1/EUReXToNLG</definedName>
    <definedName name="NodeTotal">#REF!</definedName>
    <definedName name="O">{"'Rekap 1'!$A$1:$E$18"}</definedName>
    <definedName name="ok">'{"''1996'!$A$1:$J$272"}</definedName>
    <definedName name="ONE">#N/A</definedName>
    <definedName name="oo">1/EUReXToIEP</definedName>
    <definedName name="PDO">'{"''Summary'!$A$1:$J$46"}</definedName>
    <definedName name="PEMAS" localSheetId="0">#REF!</definedName>
    <definedName name="PEMAS">#REF!</definedName>
    <definedName name="PENYUS" localSheetId="0">#REF!</definedName>
    <definedName name="PENYUS">#REF!</definedName>
    <definedName name="PERT">{#N/A,#N/A,FALSE,"ALM-ASISC"}</definedName>
    <definedName name="PINDAH" localSheetId="0">#REF!</definedName>
    <definedName name="PINDAH">#REF!</definedName>
    <definedName name="Pos_of_Addcol" localSheetId="0">#REF!</definedName>
    <definedName name="Pos_of_Addcol">#REF!</definedName>
    <definedName name="Pos_of_ExistingCol" localSheetId="0">#REF!</definedName>
    <definedName name="Pos_of_ExistingCol">#REF!</definedName>
    <definedName name="Pos_of_TotalCol" localSheetId="0">#REF!</definedName>
    <definedName name="Pos_of_TotalCol">#REF!</definedName>
    <definedName name="Power">{#N/A,#N/A,FALSE,"ALM-ASISC"}</definedName>
    <definedName name="Power_Pro">{#N/A,#N/A,FALSE,"ALM-ASISC"}</definedName>
    <definedName name="pr">{#N/A,#N/A,FALSE,"Deckblatt";#N/A,#N/A,FALSE,"KABEL";#N/A,#N/A,FALSE,"MATERIAL";#N/A,#N/A,FALSE,"DBHK"}</definedName>
    <definedName name="_xlnm.Print_Area">#REF!</definedName>
    <definedName name="Print_Area_T" localSheetId="0">#REF!</definedName>
    <definedName name="Print_Area_T">#REF!</definedName>
    <definedName name="Print_Area1" localSheetId="0">#REF!</definedName>
    <definedName name="Print_Area1">#REF!</definedName>
    <definedName name="PTEeXToEUR">1/EUReXToPTE</definedName>
    <definedName name="q">'{"''1996'!$A$1:$J$272"}</definedName>
    <definedName name="QF_COL_REMARK_H" localSheetId="0">'[5]'Matrix FCR'!L3-Phases-Normal-H'!#REF!</definedName>
    <definedName name="QF_COL_REMARK_H">'[5]L3-Phases-Normal-H'!#REF!</definedName>
    <definedName name="QF_COL_REMARK_HBM" localSheetId="0">#REF!</definedName>
    <definedName name="QF_COL_REMARK_HBM">#REF!</definedName>
    <definedName name="QF_COL_TOTAL_LISTPRICE" localSheetId="0">#REF!</definedName>
    <definedName name="QF_COL_TOTAL_LISTPRICE">#REF!</definedName>
    <definedName name="QF_SYS_AGENTNAME" localSheetId="0">#REF!</definedName>
    <definedName name="QF_SYS_AGENTNAME">#REF!</definedName>
    <definedName name="QF_SYS_BADRATIO" localSheetId="0">#REF!</definedName>
    <definedName name="QF_SYS_BADRATIO">#REF!</definedName>
    <definedName name="QF_SYS_BRANCHOFFICE" localSheetId="0">#REF!</definedName>
    <definedName name="QF_SYS_BRANCHOFFICE">#REF!</definedName>
    <definedName name="QF_SYS_COE" localSheetId="0">#REF!</definedName>
    <definedName name="QF_SYS_COE">#REF!</definedName>
    <definedName name="QF_SYS_COMPANYINFO" localSheetId="0">#REF!</definedName>
    <definedName name="QF_SYS_COMPANYINFO">#REF!</definedName>
    <definedName name="QF_SYS_CTRLTEST" localSheetId="0">#REF!</definedName>
    <definedName name="QF_SYS_CTRLTEST">#REF!</definedName>
    <definedName name="QF_SYS_DDP" localSheetId="0">#REF!</definedName>
    <definedName name="QF_SYS_DDP">#REF!</definedName>
    <definedName name="QF_SYS_DEFAULT_CURRENCY" localSheetId="0">#REF!</definedName>
    <definedName name="QF_SYS_DEFAULT_CURRENCY">#REF!</definedName>
    <definedName name="QF_SYS_DEPARTMENTINFO" localSheetId="0">#REF!</definedName>
    <definedName name="QF_SYS_DEPARTMENTINFO">#REF!</definedName>
    <definedName name="QF_SYS_DLVYPLACE" localSheetId="0">#REF!</definedName>
    <definedName name="QF_SYS_DLVYPLACE">#REF!</definedName>
    <definedName name="QF_SYS_ERATE" localSheetId="0">#REF!</definedName>
    <definedName name="QF_SYS_ERATE">#REF!</definedName>
    <definedName name="QF_SYS_EXCHANGE" localSheetId="0">#REF!</definedName>
    <definedName name="QF_SYS_EXCHANGE">#REF!</definedName>
    <definedName name="QF_SYS_OPERATOR" localSheetId="0">#REF!</definedName>
    <definedName name="QF_SYS_OPERATOR">#REF!</definedName>
    <definedName name="QF_SYS_PCOE" localSheetId="0">#REF!</definedName>
    <definedName name="QF_SYS_PCOE">#REF!</definedName>
    <definedName name="QF_SYS_PRODUCT_LINE" localSheetId="0">#REF!</definedName>
    <definedName name="QF_SYS_PRODUCT_LINE">#REF!</definedName>
    <definedName name="QF_SYS_PROJNAME" localSheetId="0">#REF!</definedName>
    <definedName name="QF_SYS_PROJNAME">#REF!</definedName>
    <definedName name="QF_SYS_QUOTATION_NAME" localSheetId="0">#REF!</definedName>
    <definedName name="QF_SYS_QUOTATION_NAME">#REF!</definedName>
    <definedName name="QF_SYS_QUOTATION_NO" localSheetId="0">#REF!</definedName>
    <definedName name="QF_SYS_QUOTATION_NO">#REF!</definedName>
    <definedName name="QF_SYS_QUOTATION_PONUMBER" localSheetId="0">#REF!</definedName>
    <definedName name="QF_SYS_QUOTATION_PONUMBER">#REF!</definedName>
    <definedName name="QF_SYS_REGHEAD" localSheetId="0">#REF!</definedName>
    <definedName name="QF_SYS_REGHEAD">#REF!</definedName>
    <definedName name="QF_SYS_ROUNDUP_DECIMAL" localSheetId="0">#REF!</definedName>
    <definedName name="QF_SYS_ROUNDUP_DECIMAL">#REF!</definedName>
    <definedName name="QF_SYS_RRATE" localSheetId="0">#REF!</definedName>
    <definedName name="QF_SYS_RRATE">#REF!</definedName>
    <definedName name="QF_SYS_SCOE" localSheetId="0">#REF!</definedName>
    <definedName name="QF_SYS_SCOE">#REF!</definedName>
    <definedName name="QF_SYS_SECURITY_FLAG" localSheetId="0">#REF!</definedName>
    <definedName name="QF_SYS_SECURITY_FLAG">#REF!</definedName>
    <definedName name="QF_SYS_SPARMAXPER" localSheetId="0">#REF!</definedName>
    <definedName name="QF_SYS_SPARMAXPER">#REF!</definedName>
    <definedName name="QF_SYS_SPDISCOUNT" localSheetId="0">#REF!</definedName>
    <definedName name="QF_SYS_SPDISCOUNT">#REF!</definedName>
    <definedName name="QF_SYS_TRADE_DESC">'[6]Parameters'!$B$105</definedName>
    <definedName name="QF_SYS_TRADE_TYPE" localSheetId="0">#REF!</definedName>
    <definedName name="QF_SYS_TRADE_TYPE">#REF!</definedName>
    <definedName name="QF_SYS_TRADETERM" localSheetId="0">#REF!</definedName>
    <definedName name="QF_SYS_TRADETERM">#REF!</definedName>
    <definedName name="QF_SYS_TRANSPORT" localSheetId="0">#REF!</definedName>
    <definedName name="QF_SYS_TRANSPORT">#REF!</definedName>
    <definedName name="QF_SYS_USE_ISSUENO" localSheetId="0">#REF!</definedName>
    <definedName name="QF_SYS_USE_ISSUENO">#REF!</definedName>
    <definedName name="QF_SYS_USED_CONTRACT_PRICE" localSheetId="0">#REF!</definedName>
    <definedName name="QF_SYS_USED_CONTRACT_PRICE">#REF!</definedName>
    <definedName name="QF_SYS_VALIDITY_DATE" localSheetId="0">#REF!</definedName>
    <definedName name="QF_SYS_VALIDITY_DATE">#REF!</definedName>
    <definedName name="QFLAG_00001_EQUIPMENT_337_QFCOLLOCALTOTALPRICE_0" localSheetId="0">'[7]Divre1 - Price Summary'!#REF!</definedName>
    <definedName name="QFLAG_00001_EQUIPMENT_337_QFCOLLOCALTOTALPRICE_0">'[7]Divre1 - Price Summary'!#REF!</definedName>
    <definedName name="QFLAG_00001_EQUIPMENT_337_QFCOLORIGINALTOTALPRICE_0" localSheetId="0">'[7]Divre1 - Price Summary'!#REF!</definedName>
    <definedName name="QFLAG_00001_EQUIPMENT_337_QFCOLORIGINALTOTALPRICE_0">'[7]Divre1 - Price Summary'!#REF!</definedName>
    <definedName name="QFLAG_00001_EQUIPMENT_337_QFCOLTOTALPRICE_0" localSheetId="0">'[7]Divre1 - Price Summary'!#REF!</definedName>
    <definedName name="QFLAG_00001_EQUIPMENT_337_QFCOLTOTALPRICE_0">'[7]Divre1 - Price Summary'!#REF!</definedName>
    <definedName name="QFLAG_00017_EQUIPMENT_581_QFCOLLOCALTOTALPRICE_0" localSheetId="0">'[7]Divre1 - Price Summary'!#REF!</definedName>
    <definedName name="QFLAG_00017_EQUIPMENT_581_QFCOLLOCALTOTALPRICE_0">'[7]Divre1 - Price Summary'!#REF!</definedName>
    <definedName name="QFLAG_00017_EQUIPMENT_581_QFCOLORIGINALTOTALPRICE_0" localSheetId="0">'[7]Divre1 - Price Summary'!#REF!</definedName>
    <definedName name="QFLAG_00017_EQUIPMENT_581_QFCOLORIGINALTOTALPRICE_0">'[7]Divre1 - Price Summary'!#REF!</definedName>
    <definedName name="QFLAG_00017_EQUIPMENT_581_QFCOLTOTALPRICE_0" localSheetId="0">'[7]Divre1 - Price Summary'!#REF!</definedName>
    <definedName name="QFLAG_00017_EQUIPMENT_581_QFCOLTOTALPRICE_0">'[7]Divre1 - Price Summary'!#REF!</definedName>
    <definedName name="QFLAG_00019_EQUIPMENT_695_QFCOLLOCALTOTALPRICE_0" localSheetId="0">'[7]Divre1 - Price Summary'!#REF!</definedName>
    <definedName name="QFLAG_00019_EQUIPMENT_695_QFCOLLOCALTOTALPRICE_0">'[7]Divre1 - Price Summary'!#REF!</definedName>
    <definedName name="QFLAG_00019_EQUIPMENT_695_QFCOLORIGINALTOTALPRICE_0" localSheetId="0">'[7]Divre1 - Price Summary'!#REF!</definedName>
    <definedName name="QFLAG_00019_EQUIPMENT_695_QFCOLORIGINALTOTALPRICE_0">'[7]Divre1 - Price Summary'!#REF!</definedName>
    <definedName name="QFLAG_00019_EQUIPMENT_695_QFCOLTOTALPRICE_0" localSheetId="0">'[7]Divre1 - Price Summary'!#REF!</definedName>
    <definedName name="QFLAG_00019_EQUIPMENT_695_QFCOLTOTALPRICE_0">'[7]Divre1 - Price Summary'!#REF!</definedName>
    <definedName name="QFLAG_00052_EQUIPMENT_1168_QFCOLLOCALTOTALPRICE_0" localSheetId="0">'[7]Divre1 - Price Summary'!#REF!</definedName>
    <definedName name="QFLAG_00052_EQUIPMENT_1168_QFCOLLOCALTOTALPRICE_0">'[7]Divre1 - Price Summary'!#REF!</definedName>
    <definedName name="QFLAG_00052_EQUIPMENT_1168_QFCOLORIGINALTOTALPRICE_0" localSheetId="0">'[7]Divre1 - Price Summary'!#REF!</definedName>
    <definedName name="QFLAG_00052_EQUIPMENT_1168_QFCOLORIGINALTOTALPRICE_0">'[7]Divre1 - Price Summary'!#REF!</definedName>
    <definedName name="QFLAG_00052_EQUIPMENT_1168_QFCOLTOTALPRICE_0" localSheetId="0">'[7]Divre1 - Price Summary'!#REF!</definedName>
    <definedName name="QFLAG_00052_EQUIPMENT_1168_QFCOLTOTALPRICE_0">'[7]Divre1 - Price Summary'!#REF!</definedName>
    <definedName name="QFLAG_00053_EQUIPMENT_520_QFCOLLOCALTOTALPRICE_0" localSheetId="0">'[7]Divre1 - Price Summary'!#REF!</definedName>
    <definedName name="QFLAG_00053_EQUIPMENT_520_QFCOLLOCALTOTALPRICE_0">'[7]Divre1 - Price Summary'!#REF!</definedName>
    <definedName name="QFLAG_00053_EQUIPMENT_520_QFCOLORIGINALTOTALPRICE_0" localSheetId="0">'[7]Divre1 - Price Summary'!#REF!</definedName>
    <definedName name="QFLAG_00053_EQUIPMENT_520_QFCOLORIGINALTOTALPRICE_0">'[7]Divre1 - Price Summary'!#REF!</definedName>
    <definedName name="QFLAG_00053_EQUIPMENT_520_QFCOLTOTALPRICE_0" localSheetId="0">'[7]Divre1 - Price Summary'!#REF!</definedName>
    <definedName name="QFLAG_00053_EQUIPMENT_520_QFCOLTOTALPRICE_0">'[7]Divre1 - Price Summary'!#REF!</definedName>
    <definedName name="QFLAG_00225_EQUIPMENT_1725_QFCOLORIGINALTOTALPRICE_0" localSheetId="0">#REF!</definedName>
    <definedName name="QFLAG_00225_EQUIPMENT_1725_QFCOLORIGINALTOTALPRICE_0">#REF!</definedName>
    <definedName name="QFLAG_00225_EQUIPMENT_1725_QFCOLTOTALPRICE_0" localSheetId="0">#REF!</definedName>
    <definedName name="QFLAG_00225_EQUIPMENT_1725_QFCOLTOTALPRICE_0">#REF!</definedName>
    <definedName name="QFLAG_00235_EQUIPMENT_1727_QFCOLORIGINALTOTALPRICE_0" localSheetId="0">#REF!</definedName>
    <definedName name="QFLAG_00235_EQUIPMENT_1727_QFCOLORIGINALTOTALPRICE_0">#REF!</definedName>
    <definedName name="QFLAG_00235_EQUIPMENT_1727_QFCOLTOTALPRICE_0" localSheetId="0">#REF!</definedName>
    <definedName name="QFLAG_00235_EQUIPMENT_1727_QFCOLTOTALPRICE_0">#REF!</definedName>
    <definedName name="QFLAG_00240_EQUIPMENT_1728_QFCOLORIGINALTOTALPRICE_0" localSheetId="0">'[8]'Matrix FCR'!L1-Price Summary'!#REF!</definedName>
    <definedName name="QFLAG_00240_EQUIPMENT_1728_QFCOLORIGINALTOTALPRICE_0">'[8]L1-Price Summary'!#REF!</definedName>
    <definedName name="QFLAG_00250_EQUIPMENT_1730_QFCOLORIGINALTOTALPRICE_0" localSheetId="0">#REF!</definedName>
    <definedName name="QFLAG_00250_EQUIPMENT_1730_QFCOLORIGINALTOTALPRICE_0">#REF!</definedName>
    <definedName name="QFLAG_00250_EQUIPMENT_1730_QFCOLTOTALPRICE_0" localSheetId="0">#REF!</definedName>
    <definedName name="QFLAG_00250_EQUIPMENT_1730_QFCOLTOTALPRICE_0">#REF!</definedName>
    <definedName name="QFLAG_00280_EQUIPMENT_1487_QFCOLLOCALTOTALPRICE_0" localSheetId="0">'[7]Divre1 - Price Summary'!#REF!</definedName>
    <definedName name="QFLAG_00280_EQUIPMENT_1487_QFCOLLOCALTOTALPRICE_0">'[7]Divre1 - Price Summary'!#REF!</definedName>
    <definedName name="QFLAG_00280_EQUIPMENT_1487_QFCOLORIGINALTOTALPRICE_0" localSheetId="0">'[7]Divre1 - Price Summary'!#REF!</definedName>
    <definedName name="QFLAG_00280_EQUIPMENT_1487_QFCOLORIGINALTOTALPRICE_0">'[7]Divre1 - Price Summary'!#REF!</definedName>
    <definedName name="QFLAG_00280_EQUIPMENT_1487_QFCOLTOTALPRICE_0" localSheetId="0">'[7]Divre1 - Price Summary'!#REF!</definedName>
    <definedName name="QFLAG_00280_EQUIPMENT_1487_QFCOLTOTALPRICE_0">'[7]Divre1 - Price Summary'!#REF!</definedName>
    <definedName name="QFLAG_00315_EQUIPMENT_1741_QFCOLORIGINALTOTALPRICE_0" localSheetId="0">#REF!</definedName>
    <definedName name="QFLAG_00315_EQUIPMENT_1741_QFCOLORIGINALTOTALPRICE_0">#REF!</definedName>
    <definedName name="QFLAG_00315_EQUIPMENT_1741_QFCOLTOTALPRICE_0" localSheetId="0">#REF!</definedName>
    <definedName name="QFLAG_00315_EQUIPMENT_1741_QFCOLTOTALPRICE_0">#REF!</definedName>
    <definedName name="QFLAG_00480_EQUIPMENT_507_QFCOLLOCALTOTALPRICE_0" localSheetId="0">'[7]Divre1 - Price Summary'!#REF!</definedName>
    <definedName name="QFLAG_00480_EQUIPMENT_507_QFCOLLOCALTOTALPRICE_0">'[7]Divre1 - Price Summary'!#REF!</definedName>
    <definedName name="QFLAG_00480_EQUIPMENT_507_QFCOLORIGINALTOTALPRICE_0" localSheetId="0">'[7]Divre1 - Price Summary'!#REF!</definedName>
    <definedName name="QFLAG_00480_EQUIPMENT_507_QFCOLORIGINALTOTALPRICE_0">'[7]Divre1 - Price Summary'!#REF!</definedName>
    <definedName name="QFLAG_00480_EQUIPMENT_507_QFCOLTOTALPRICE_0" localSheetId="0">'[7]Divre1 - Price Summary'!#REF!</definedName>
    <definedName name="QFLAG_00480_EQUIPMENT_507_QFCOLTOTALPRICE_0">'[7]Divre1 - Price Summary'!#REF!</definedName>
    <definedName name="QFLAG_00500_SPAREPART_357_QFCOLLOCALTOTALPRICE_0" localSheetId="0">'[7]Divre1 - Price Summary'!#REF!</definedName>
    <definedName name="QFLAG_00500_SPAREPART_357_QFCOLLOCALTOTALPRICE_0">'[7]Divre1 - Price Summary'!#REF!</definedName>
    <definedName name="QFLAG_00500_SPAREPART_357_QFCOLORIGINALTOTALPRICE_0" localSheetId="0">'[7]Divre1 - Price Summary'!#REF!</definedName>
    <definedName name="QFLAG_00500_SPAREPART_357_QFCOLORIGINALTOTALPRICE_0">'[7]Divre1 - Price Summary'!#REF!</definedName>
    <definedName name="QFLAG_00500_SPAREPART_357_QFCOLTOTALPRICE_0" localSheetId="0">'[7]Divre1 - Price Summary'!#REF!</definedName>
    <definedName name="QFLAG_00500_SPAREPART_357_QFCOLTOTALPRICE_0">'[7]Divre1 - Price Summary'!#REF!</definedName>
    <definedName name="QFLAG_DescColumn" localSheetId="0">#REF!</definedName>
    <definedName name="QFLAG_DescColumn">#REF!</definedName>
    <definedName name="QWQWQ">#REF!</definedName>
    <definedName name="qwqwqw">#REF!</definedName>
    <definedName name="QWQWQWQW">#REF!</definedName>
    <definedName name="QWQWQWQWQW">#REF!</definedName>
    <definedName name="R_BETON">'[9]Rekapitulasi'!$D$6</definedName>
    <definedName name="R_DINDING">'[9]Rekapitulasi'!$D$8</definedName>
    <definedName name="R_KAPDANATAP">'[9]Rekapitulasi'!$D$10</definedName>
    <definedName name="R_KESELURUHAN">'[9]Rekapitulasi'!$D$26</definedName>
    <definedName name="R_LANTAI">'[9]Rekapitulasi'!$D$16</definedName>
    <definedName name="R_PENGECATAN">'[9]Rekapitulasi'!$D$20</definedName>
    <definedName name="R_PERLENGKAPANDALAM">'[9]Rekapitulasi'!$D$22</definedName>
    <definedName name="R_PERLENGKAPANLUAR">'[9]Rekapitulasi'!$D$24</definedName>
    <definedName name="R_PINTUDANJENDELA">'[9]Rekapitulasi'!$D$18</definedName>
    <definedName name="R_PLAFON">'[9]Rekapitulasi'!$D$12</definedName>
    <definedName name="R_PLASTERAN">'[9]Rekapitulasi'!$D$14</definedName>
    <definedName name="R_PONDASI">'[9]Rekapitulasi'!$D$4</definedName>
    <definedName name="range" localSheetId="0">#REF!</definedName>
    <definedName name="range">#REF!</definedName>
    <definedName name="sa">'{"''1996'!$A$1:$J$272"}</definedName>
    <definedName name="ScopeLine2_for_Deleted_Lifted" localSheetId="0">#REF!</definedName>
    <definedName name="ScopeLine2_for_Deleted_Lifted">#REF!</definedName>
    <definedName name="SD" localSheetId="0">#REF!</definedName>
    <definedName name="SD">#REF!</definedName>
    <definedName name="Service" localSheetId="0">#REF!</definedName>
    <definedName name="Service">#REF!</definedName>
    <definedName name="ServiceInfox" localSheetId="0">#REF!</definedName>
    <definedName name="ServiceInfox">#REF!</definedName>
    <definedName name="SH" localSheetId="0">#REF!</definedName>
    <definedName name="SH">#REF!</definedName>
    <definedName name="Site">#REF!</definedName>
    <definedName name="SMSC" localSheetId="0">#REF!</definedName>
    <definedName name="SMSC">#REF!</definedName>
    <definedName name="ss">'{"''1996'!$A$1:$J$272"}</definedName>
    <definedName name="ssa">1/EUReXToFRF</definedName>
    <definedName name="sss">1/EUReXToFRF</definedName>
    <definedName name="sssss" localSheetId="0">#REF!</definedName>
    <definedName name="sssss">#REF!</definedName>
    <definedName name="StartLine_for_EquipList" localSheetId="0">#REF!</definedName>
    <definedName name="StartLine_for_EquipList">#REF!</definedName>
    <definedName name="Startline_for_PrintArea" localSheetId="0">#REF!</definedName>
    <definedName name="Startline_for_PrintArea">#REF!</definedName>
    <definedName name="StartLine_for_TableTitle" localSheetId="0">#REF!</definedName>
    <definedName name="StartLine_for_TableTitle">#REF!</definedName>
    <definedName name="StartPos_of_PriceCol" localSheetId="0">#REF!</definedName>
    <definedName name="StartPos_of_PriceCol">#REF!</definedName>
    <definedName name="TABLE">#REF!</definedName>
    <definedName name="TARGETSDBLINI" localSheetId="0">#REF!</definedName>
    <definedName name="TARGETSDBLINI">#REF!</definedName>
    <definedName name="TC" localSheetId="0">#REF!</definedName>
    <definedName name="TC">#REF!</definedName>
    <definedName name="test" localSheetId="0">#REF!</definedName>
    <definedName name="test">#REF!</definedName>
    <definedName name="test_old">#REF!</definedName>
    <definedName name="TNI">'{"''1996'!$A$1:$J$272"}</definedName>
    <definedName name="top" localSheetId="0">#REF!</definedName>
    <definedName name="top">#REF!</definedName>
    <definedName name="TOPIC">#REF!</definedName>
    <definedName name="Total_4_Link" localSheetId="0">#REF!</definedName>
    <definedName name="Total_4_Link">#REF!</definedName>
    <definedName name="Total_Lamno" localSheetId="0">#REF!</definedName>
    <definedName name="Total_Lamno">#REF!</definedName>
    <definedName name="Total_LTM" localSheetId="0">#REF!</definedName>
    <definedName name="Total_LTM">#REF!</definedName>
    <definedName name="Total_TTN" localSheetId="0">#REF!</definedName>
    <definedName name="Total_TTN">#REF!</definedName>
    <definedName name="TotalHomePass">#REF!</definedName>
    <definedName name="tyh" localSheetId="0">#REF!</definedName>
    <definedName name="tyh">#REF!</definedName>
    <definedName name="UBR" localSheetId="0">#REF!</definedName>
    <definedName name="UBR">#REF!</definedName>
    <definedName name="URAIAN" localSheetId="0">#REF!</definedName>
    <definedName name="URAIAN">#REF!</definedName>
    <definedName name="USD">#REF!</definedName>
    <definedName name="USSD" localSheetId="0">#REF!</definedName>
    <definedName name="USSD">#REF!</definedName>
    <definedName name="v.5" localSheetId="0">#REF!</definedName>
    <definedName name="v.5">#REF!</definedName>
    <definedName name="VMS_Karachi">{#N/A,#N/A,FALSE,"ALM-ASISC"}</definedName>
    <definedName name="wd">{#N/A,#N/A,FALSE,"ALM-ASISC"}</definedName>
    <definedName name="WL_RINGLOOP_BOUNDGRUP_MDF">"$#REF!.$A$4:$C$83"</definedName>
    <definedName name="wrn.1">{#N/A,#N/A,FALSE,"Deckblatt";#N/A,#N/A,FALSE,"KABEL";#N/A,#N/A,FALSE,"MATERIAL";#N/A,#N/A,FALSE,"DBHK"}</definedName>
    <definedName name="wrn.aaa.">{#N/A,#N/A,FALSE,"ALM-ASISC"}</definedName>
    <definedName name="wrn.Alles.">{#N/A,#N/A,FALSE,"Deckblatt";#N/A,#N/A,FALSE,"KABEL";#N/A,#N/A,FALSE,"MATERIAL";#N/A,#N/A,FALSE,"DBHK"}</definedName>
    <definedName name="wte">{#N/A,#N/A,FALSE,"ALM-ASISC"}</definedName>
    <definedName name="y">'{"''1996'!$A$1:$J$272"}</definedName>
    <definedName name="YA">'{"''1996'!$A$1:$J$272"}</definedName>
    <definedName name="yes" localSheetId="0">#REF!</definedName>
    <definedName name="yes">#REF!</definedName>
    <definedName name="yyy" localSheetId="0">#REF!</definedName>
    <definedName name="yyy">#REF!</definedName>
    <definedName name="zzz" localSheetId="0">#REF!</definedName>
    <definedName name="zzz">#REF!</definedName>
    <definedName name="가">{#N/A,#N/A,FALSE,"ALM-ASISC"}</definedName>
    <definedName name="공사설명서">{#N/A,#N/A,FALSE,"ALM-ASISC"}</definedName>
    <definedName name="김영준">{#N/A,#N/A,FALSE,"ALM-ASISC"}</definedName>
    <definedName name="나">{#N/A,#N/A,FALSE,"ALM-ASISC"}</definedName>
    <definedName name="다">{#N/A,#N/A,FALSE,"ALM-ASISC"}</definedName>
    <definedName name="라">{#N/A,#N/A,FALSE,"ALM-ASISC"}</definedName>
    <definedName name="ㅁㅁㅁ">{#N/A,#N/A,FALSE,"ALM-ASISC"}</definedName>
    <definedName name="마">{#N/A,#N/A,FALSE,"ALM-ASISC"}</definedName>
    <definedName name="바">{#N/A,#N/A,FALSE,"ALM-ASISC"}</definedName>
    <definedName name="사">{#N/A,#N/A,FALSE,"ALM-ASISC"}</definedName>
    <definedName name="수정">{#N/A,#N/A,FALSE,"ALM-ASISC"}</definedName>
    <definedName name="수정1">{#N/A,#N/A,FALSE,"ALM-ASISC"}</definedName>
    <definedName name="수정2">{#N/A,#N/A,FALSE,"ALM-ASISC"}</definedName>
    <definedName name="수정3">{#N/A,#N/A,FALSE,"ALM-ASISC"}</definedName>
    <definedName name="수정4">{#N/A,#N/A,FALSE,"ALM-ASISC"}</definedName>
    <definedName name="수정5">{#N/A,#N/A,FALSE,"ALM-ASISC"}</definedName>
    <definedName name="수정6">{#N/A,#N/A,FALSE,"ALM-ASISC"}</definedName>
    <definedName name="아">{#N/A,#N/A,FALSE,"ALM-ASISC"}</definedName>
    <definedName name="ㅈ">{#N/A,#N/A,FALSE,"ALM-ASISC"}</definedName>
    <definedName name="자">{#N/A,#N/A,FALSE,"ALM-ASISC"}</definedName>
    <definedName name="차">{#N/A,#N/A,FALSE,"ALM-ASISC"}</definedName>
    <definedName name="카">{#N/A,#N/A,FALSE,"ALM-ASISC"}</definedName>
    <definedName name="타">{#N/A,#N/A,FALSE,"ALM-ASISC"}</definedName>
    <definedName name="특별시방서1">{#N/A,#N/A,FALSE,"ALM-ASISC"}</definedName>
    <definedName name="파">{#N/A,#N/A,FALSE,"ALM-ASISC"}</definedName>
    <definedName name="하">{#N/A,#N/A,FALSE,"ALM-ASISC"}</definedName>
    <definedName name="式" localSheetId="0">#REF!</definedName>
    <definedName name="式">#REF!</definedName>
    <definedName name="总表3" localSheetId="0">#REF!</definedName>
    <definedName name="总表3">#REF!</definedName>
    <definedName name="机柜配置图02111383" localSheetId="0">#REF!</definedName>
    <definedName name="机柜配置图02111383">#REF!</definedName>
    <definedName name="机柜配置图02111420" localSheetId="0">#REF!</definedName>
    <definedName name="机柜配置图02111420">#REF!</definedName>
    <definedName name="机柜配置图02111833" localSheetId="0">#REF!</definedName>
    <definedName name="机柜配置图02111833">#REF!</definedName>
    <definedName name="机柜配置图02111834" localSheetId="0">#REF!</definedName>
    <definedName name="机柜配置图02111834">#REF!</definedName>
    <definedName name="机柜配置图02111862" localSheetId="0">#REF!</definedName>
    <definedName name="机柜配置图02111862">#REF!</definedName>
    <definedName name="机柜配置图02111863" localSheetId="0">#REF!</definedName>
    <definedName name="机柜配置图02111863">#REF!</definedName>
    <definedName name="机柜配置图02111864" localSheetId="0">#REF!</definedName>
    <definedName name="机柜配置图02111864">#REF!</definedName>
    <definedName name="机柜配置图02111865" localSheetId="0">#REF!</definedName>
    <definedName name="机柜配置图02111865">#REF!</definedName>
    <definedName name="机柜配置图02111866" localSheetId="0">#REF!</definedName>
    <definedName name="机柜配置图02111866">#REF!</definedName>
    <definedName name="机柜配置图02111869" localSheetId="0">#REF!</definedName>
    <definedName name="机柜配置图02111869">#REF!</definedName>
    <definedName name="机柜配置图02111870" localSheetId="0">#REF!</definedName>
    <definedName name="机柜配置图02111870">#REF!</definedName>
    <definedName name="机柜配置图02111905" localSheetId="0">#REF!</definedName>
    <definedName name="机柜配置图02111905">#REF!</definedName>
    <definedName name="机柜配置图02111906" localSheetId="0">#REF!</definedName>
    <definedName name="机柜配置图02111906">#REF!</definedName>
    <definedName name="机柜配置图02111908" localSheetId="0">#REF!</definedName>
    <definedName name="机柜配置图02111908">#REF!</definedName>
    <definedName name="机柜配置图02111945" localSheetId="0">#REF!</definedName>
    <definedName name="机柜配置图02111945">#REF!</definedName>
    <definedName name="机柜配置图02111948" localSheetId="0">#REF!</definedName>
    <definedName name="机柜配置图02111948">#REF!</definedName>
    <definedName name="机柜配置图02111949" localSheetId="0">#REF!</definedName>
    <definedName name="机柜配置图02111949">#REF!</definedName>
    <definedName name="机柜配置图02111950" localSheetId="0">#REF!</definedName>
    <definedName name="机柜配置图02111950">#REF!</definedName>
    <definedName name="机柜配置图02111961" localSheetId="0">#REF!</definedName>
    <definedName name="机柜配置图02111961">#REF!</definedName>
    <definedName name="机柜配置图02111964" localSheetId="0">#REF!</definedName>
    <definedName name="机柜配置图02111964">#REF!</definedName>
    <definedName name="机柜配置图02111966" localSheetId="0">#REF!</definedName>
    <definedName name="机柜配置图02111966">#REF!</definedName>
    <definedName name="机柜配置图02111973" localSheetId="0">#REF!</definedName>
    <definedName name="机柜配置图02111973">#REF!</definedName>
    <definedName name="机柜配置图02111974" localSheetId="0">#REF!</definedName>
    <definedName name="机柜配置图02111974">#REF!</definedName>
    <definedName name="机柜配置图02111975" localSheetId="0">#REF!</definedName>
    <definedName name="机柜配置图02111975">#REF!</definedName>
    <definedName name="机柜配置图02111976" localSheetId="0">#REF!</definedName>
    <definedName name="机柜配置图02111976">#REF!</definedName>
    <definedName name="机柜配置图02112002" localSheetId="0">#REF!</definedName>
    <definedName name="机柜配置图02112002">#REF!</definedName>
    <definedName name="机柜配置图02112014" localSheetId="0">#REF!</definedName>
    <definedName name="机柜配置图02112014">#REF!</definedName>
    <definedName name="机柜配置图02112029" localSheetId="0">#REF!</definedName>
    <definedName name="机柜配置图02112029">#REF!</definedName>
    <definedName name="机柜配置图02112030" localSheetId="0">#REF!</definedName>
    <definedName name="机柜配置图02112030">#REF!</definedName>
    <definedName name="机柜配置图02112031" localSheetId="0">#REF!</definedName>
    <definedName name="机柜配置图02112031">#REF!</definedName>
    <definedName name="_xlnm._FilterDatabase" localSheetId="0" hidden="1">'Matrix FCR'!$A$11:$HD$40</definedName>
    <definedName name="_xlnm.Print_Titles" localSheetId="0">'Matrix FCR'!$A:$F,'Matrix FCR'!$1:$9</definedName>
    <definedName name="_xlnm.Print_Area" localSheetId="0">'Matrix FCR'!$A$1:$CU$40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<sst xmlns="http://schemas.openxmlformats.org/spreadsheetml/2006/main" uniqueCount="228">
  <si>
    <t>MATRIKS AKTUAL PELAKSANAAN</t>
  </si>
  <si>
    <t xml:space="preserve">PEKERJAAN </t>
  </si>
  <si>
    <t>:</t>
  </si>
  <si>
    <t>Area</t>
  </si>
  <si>
    <t>STO</t>
  </si>
  <si>
    <t>Site ID</t>
  </si>
  <si>
    <t xml:space="preserve">: </t>
  </si>
  <si>
    <t>Site Name</t>
  </si>
  <si>
    <t>NO</t>
  </si>
  <si>
    <t>SPAN</t>
  </si>
  <si>
    <t>LENGTH</t>
  </si>
  <si>
    <t>DESIGNATOR</t>
  </si>
  <si>
    <t>SLACK-12CORE</t>
  </si>
  <si>
    <t>Slack Support HH</t>
  </si>
  <si>
    <t>SLACK-24CORE</t>
  </si>
  <si>
    <t>SLACK-48CORE</t>
  </si>
  <si>
    <t>SLACK-96CORE</t>
  </si>
  <si>
    <t>HH-PIT-80</t>
  </si>
  <si>
    <t>AC-OF-SM-12D</t>
  </si>
  <si>
    <t>AC-OF-SM-24D</t>
  </si>
  <si>
    <t>AC-OF-SM-48D</t>
  </si>
  <si>
    <t>AC-OF-SM-96D</t>
  </si>
  <si>
    <t>AC-OF-SM-ADSS-12D</t>
  </si>
  <si>
    <t>AC-OF-SM-12-SC</t>
  </si>
  <si>
    <t>AC-OF-SM-24-SC</t>
  </si>
  <si>
    <t>AC-OF-SM-48-SC</t>
  </si>
  <si>
    <t>AC-OF-SM-96-SC</t>
  </si>
  <si>
    <t>DC-OF-SM-144D</t>
  </si>
  <si>
    <t>DC-OF-SM-288D</t>
  </si>
  <si>
    <t>SC-OF-SM-288</t>
  </si>
  <si>
    <t>SC-OF-SM-12</t>
  </si>
  <si>
    <t>SC-OF-SM-13</t>
  </si>
  <si>
    <t>SC-OF-SM-14</t>
  </si>
  <si>
    <t>SC-OF-SM-15</t>
  </si>
  <si>
    <t>SC-OF-SM-16</t>
  </si>
  <si>
    <t>SC-OF-SM-24</t>
  </si>
  <si>
    <t>OS-SM-1</t>
  </si>
  <si>
    <t>AB-OF-SM-2D</t>
  </si>
  <si>
    <t>AB-OF-SM-4D</t>
  </si>
  <si>
    <t>AB-OF-SM-8D</t>
  </si>
  <si>
    <t>AB-OF-SM-12D</t>
  </si>
  <si>
    <t>AB-OF-SM-24D</t>
  </si>
  <si>
    <t>AB-OF-SM-48D</t>
  </si>
  <si>
    <t>AB-OF-SM-72D</t>
  </si>
  <si>
    <t>AB-OF-SM-96D</t>
  </si>
  <si>
    <t>AB-OF-SM-144D</t>
  </si>
  <si>
    <t>AB-OF-SM-288D</t>
  </si>
  <si>
    <t>DC-OF-SM-1A</t>
  </si>
  <si>
    <t>DC-OF-SM-2A</t>
  </si>
  <si>
    <t>DC-OF-SM-1B</t>
  </si>
  <si>
    <t>DC-OF-SM-2B</t>
  </si>
  <si>
    <t>AC-OF-SM-1B</t>
  </si>
  <si>
    <t>AC-OF-SM-2B</t>
  </si>
  <si>
    <t>PC-APC-657-2</t>
  </si>
  <si>
    <t>PC-APC-657-A1</t>
  </si>
  <si>
    <t>PC-UPC-657-2</t>
  </si>
  <si>
    <t>PC-UPC-657-A1</t>
  </si>
  <si>
    <t>PC-APC-655-2</t>
  </si>
  <si>
    <t>PC-APC-655-A1</t>
  </si>
  <si>
    <t>PC-UPC-655-2</t>
  </si>
  <si>
    <t>PC-UPC-655-A1</t>
  </si>
  <si>
    <t>PC-APC-652-2</t>
  </si>
  <si>
    <t>PC-APC-652-A1</t>
  </si>
  <si>
    <t>PC-UPC-652-2</t>
  </si>
  <si>
    <t>PC-APC/UPC-652-A1</t>
  </si>
  <si>
    <t>ODC-C-48</t>
  </si>
  <si>
    <t>ODC-C-144</t>
  </si>
  <si>
    <t>ODC-C-288</t>
  </si>
  <si>
    <t>ODC-PROT-144</t>
  </si>
  <si>
    <t>ODC-PROT-288</t>
  </si>
  <si>
    <t>ODP-CA-8</t>
  </si>
  <si>
    <t>ODP-CA-16</t>
  </si>
  <si>
    <t>ODP-A-8</t>
  </si>
  <si>
    <t>ODP-Solid-PB-8</t>
  </si>
  <si>
    <t>ODP-Solid-PB-16</t>
  </si>
  <si>
    <t>ODP-Solid-PB-8 AS</t>
  </si>
  <si>
    <t>ODP-Solid-PB-16 AS</t>
  </si>
  <si>
    <t>ODP-PL-16</t>
  </si>
  <si>
    <t>TC-SM-12</t>
  </si>
  <si>
    <t>TC-SM-24</t>
  </si>
  <si>
    <t>TC-SM-48</t>
  </si>
  <si>
    <t>TC-SM-96</t>
  </si>
  <si>
    <t>FTB-SM-144SA</t>
  </si>
  <si>
    <t>TR-FTM-HIGH CAP</t>
  </si>
  <si>
    <t>RS-IN-SC-1P</t>
  </si>
  <si>
    <t>RS-IN-SC-2P</t>
  </si>
  <si>
    <t>PS-1-2-ODC</t>
  </si>
  <si>
    <t>TC-SM-144</t>
  </si>
  <si>
    <t>PS-1-4-ODC</t>
  </si>
  <si>
    <t>PS-1-8-ODP</t>
  </si>
  <si>
    <t>PS-1-16-ODP</t>
  </si>
  <si>
    <t>PS-2-2-ODC</t>
  </si>
  <si>
    <t>PS-2-4-ODC</t>
  </si>
  <si>
    <t>SITAC</t>
  </si>
  <si>
    <t>PU-S7.0-140</t>
  </si>
  <si>
    <t xml:space="preserve">PU-S7.0-400NM </t>
  </si>
  <si>
    <t>PU-S9.0-140</t>
  </si>
  <si>
    <t>PU-C7.0-250</t>
  </si>
  <si>
    <t>PU-C9.0-300</t>
  </si>
  <si>
    <t>GU-G</t>
  </si>
  <si>
    <t>PU-AS-SC</t>
  </si>
  <si>
    <t>PU-AS-HL</t>
  </si>
  <si>
    <t>STAINLESS BELT</t>
  </si>
  <si>
    <t>PU-AS</t>
  </si>
  <si>
    <t>GB-G1</t>
  </si>
  <si>
    <t>GB-G3</t>
  </si>
  <si>
    <t>GB-G-INTG</t>
  </si>
  <si>
    <t>TC-02-ODC</t>
  </si>
  <si>
    <t xml:space="preserve"> PP-OF-IN</t>
  </si>
  <si>
    <t xml:space="preserve"> PP-OF-OUT</t>
  </si>
  <si>
    <t>DD-S3-1</t>
  </si>
  <si>
    <t>DD-S3-2</t>
  </si>
  <si>
    <t>DD-S3-3</t>
  </si>
  <si>
    <t>DD-V4-1</t>
  </si>
  <si>
    <t>DD-V4-2</t>
  </si>
  <si>
    <t>DD-V5-1</t>
  </si>
  <si>
    <t>DD-V5-2</t>
  </si>
  <si>
    <t>DD-DA-S1</t>
  </si>
  <si>
    <t>DD-DA-S2</t>
  </si>
  <si>
    <t>DD-DA-S4</t>
  </si>
  <si>
    <t>DD-BSS-S1</t>
  </si>
  <si>
    <t>DD-BSS-S2</t>
  </si>
  <si>
    <t>DD-BTS-S1</t>
  </si>
  <si>
    <t>DD-BTS-S2</t>
  </si>
  <si>
    <t>DD-BTS-S4</t>
  </si>
  <si>
    <t>HB-PS-1</t>
  </si>
  <si>
    <t>HB-PS-2</t>
  </si>
  <si>
    <t>HB-PS-4</t>
  </si>
  <si>
    <t>HB-PC-2</t>
  </si>
  <si>
    <t>HB-PC-4</t>
  </si>
  <si>
    <t>DD-BMR-1</t>
  </si>
  <si>
    <t>DD-BMR-2</t>
  </si>
  <si>
    <t>DD-BMR-4</t>
  </si>
  <si>
    <t>DC-SD-28-1</t>
  </si>
  <si>
    <t>DC-SD-28-3</t>
  </si>
  <si>
    <t>DC-SD-33-1</t>
  </si>
  <si>
    <t>DC-SD-33-2</t>
  </si>
  <si>
    <t>DC-SD-43-1</t>
  </si>
  <si>
    <t>DC-SD-43-2</t>
  </si>
  <si>
    <t>DCD-PVC-1</t>
  </si>
  <si>
    <t>DD-BM-100-1</t>
  </si>
  <si>
    <t>DD-BM-100-2</t>
  </si>
  <si>
    <t>DD-BM-50-1</t>
  </si>
  <si>
    <t>DD-BM-50-2</t>
  </si>
  <si>
    <t>DD-BM-HDPE-40-1</t>
  </si>
  <si>
    <t>DD-BM-HDPE-40-2</t>
  </si>
  <si>
    <t>DD-BM-HDPE-50-1</t>
  </si>
  <si>
    <t>DD-BM-HDPE-50-2</t>
  </si>
  <si>
    <t>DD-HDPE-40-1</t>
  </si>
  <si>
    <t>DD-HDPE-40-2</t>
  </si>
  <si>
    <t>DD-HDPE-50-1</t>
  </si>
  <si>
    <t>DD-HDPE-50-2</t>
  </si>
  <si>
    <t>DD-HDPE-40-1C</t>
  </si>
  <si>
    <t>DD-HDPE-40-2C</t>
  </si>
  <si>
    <t>DD-ROD</t>
  </si>
  <si>
    <t>DD-RV-1</t>
  </si>
  <si>
    <t>DD-RV-CONCRETE</t>
  </si>
  <si>
    <t>DD-DS-S1</t>
  </si>
  <si>
    <t>DD-DS-COD1-M</t>
  </si>
  <si>
    <t>BC-TR-0.4</t>
  </si>
  <si>
    <t>BC-TR-0.6</t>
  </si>
  <si>
    <t>BC-TR-1</t>
  </si>
  <si>
    <t>BC-TR-2</t>
  </si>
  <si>
    <t>BC-TR-3</t>
  </si>
  <si>
    <t>BC-TR-4</t>
  </si>
  <si>
    <t>BC-TR-5</t>
  </si>
  <si>
    <t>BCTR-ROCK</t>
  </si>
  <si>
    <t>BD-SK</t>
  </si>
  <si>
    <t>SMD-ABS-2A</t>
  </si>
  <si>
    <t>SMD-ABS-3A</t>
  </si>
  <si>
    <t>SMD-ABS-4A</t>
  </si>
  <si>
    <t>SMD-ABS-6A</t>
  </si>
  <si>
    <t>DD-MDSC-5/3.5</t>
  </si>
  <si>
    <t>DD-MDSC-10/8</t>
  </si>
  <si>
    <t>DD-MDSC-12/10</t>
  </si>
  <si>
    <t>DD-MDDI-1A</t>
  </si>
  <si>
    <t>DD-MDDI-2A</t>
  </si>
  <si>
    <t>DD-MDDI-4A</t>
  </si>
  <si>
    <t>DD-MDDI-7A</t>
  </si>
  <si>
    <t>DD-MDDI-12A</t>
  </si>
  <si>
    <t>DD-MDDI-19A</t>
  </si>
  <si>
    <t>DD-MDDI-24A</t>
  </si>
  <si>
    <t>DD-MDDI-1B</t>
  </si>
  <si>
    <t>DD-MDDI-2B</t>
  </si>
  <si>
    <t>DD-MDDI-4B</t>
  </si>
  <si>
    <t>DD-MDDI-7B</t>
  </si>
  <si>
    <t>DD-MDDI-1C</t>
  </si>
  <si>
    <t>DD-MDDI-2C</t>
  </si>
  <si>
    <t>DD-MDDI-4C</t>
  </si>
  <si>
    <t>DD-MDDI-7C</t>
  </si>
  <si>
    <t>DD-MDDB-1A</t>
  </si>
  <si>
    <t>DD-MDDB-2A</t>
  </si>
  <si>
    <t>DD-MDDB-4A</t>
  </si>
  <si>
    <t>DD-MDDB-7A</t>
  </si>
  <si>
    <t>DD-MDDB-12A</t>
  </si>
  <si>
    <t>DD-MDDB-19A</t>
  </si>
  <si>
    <t>DD-MDDB-24A</t>
  </si>
  <si>
    <t>DD-MDDB-1B</t>
  </si>
  <si>
    <t>DD-MDDB-2B</t>
  </si>
  <si>
    <t>DD-MDDB-4B</t>
  </si>
  <si>
    <t>DD-MDDB-7B</t>
  </si>
  <si>
    <t>DD-MDDB-1C</t>
  </si>
  <si>
    <t>DD-MDDB-2C</t>
  </si>
  <si>
    <t>DD-MDDB-4C</t>
  </si>
  <si>
    <t>DD-MDDB-7C</t>
  </si>
  <si>
    <t>DD-MDEC-5/3.5</t>
  </si>
  <si>
    <t>DD-MDEC-10/8</t>
  </si>
  <si>
    <t>DD-MDEC-12/10</t>
  </si>
  <si>
    <t>Manhole, Perbaikan dan Modifikasi</t>
  </si>
  <si>
    <t>MH-HH1</t>
  </si>
  <si>
    <t>MH-HH2</t>
  </si>
  <si>
    <t>HH-PIT-P-ODC</t>
  </si>
  <si>
    <t>MH-CA</t>
  </si>
  <si>
    <t>CO-OF</t>
  </si>
  <si>
    <t>OTDR</t>
  </si>
  <si>
    <t>core</t>
  </si>
  <si>
    <t>pcs</t>
  </si>
  <si>
    <t>mtr</t>
  </si>
  <si>
    <t>unit</t>
  </si>
  <si>
    <t>Node</t>
  </si>
  <si>
    <t>btg</t>
  </si>
  <si>
    <t>set</t>
  </si>
  <si>
    <t>track</t>
  </si>
  <si>
    <t>m3</t>
  </si>
  <si>
    <t>Titik</t>
  </si>
  <si>
    <t>FCR</t>
  </si>
  <si>
    <t>ODP</t>
  </si>
  <si>
    <t>GRAND TOTAL</t>
  </si>
</sst>
</file>

<file path=xl/styles.xml><?xml version="1.0" encoding="utf-8"?>
<styleSheet xmlns="http://schemas.openxmlformats.org/spreadsheetml/2006/main">
  <numFmts count="2">
    <numFmt numFmtId="164" formatCode="_(* #,##0_);_(* \(#,##0\);_(* &quot;-&quot;??_);_(@_)"/>
    <numFmt numFmtId="165" formatCode="_(* #,##0_);_(* \(#,##0\);_(* &quot;-&quot;_);_(@_)"/>
  </numFmts>
  <fonts count="13">
    <font>
      <b val="0"/>
      <i val="0"/>
      <strike val="0"/>
      <u val="none"/>
      <sz val="11"/>
      <color theme="1"/>
      <name val="Calibri"/>
      <charset val="134"/>
      <scheme val="minor"/>
    </font>
    <font>
      <b val="0"/>
      <i val="0"/>
      <strike val="0"/>
      <u val="none"/>
      <sz val="16"/>
      <color rgb="FF000000"/>
      <name val="Segoe UI"/>
    </font>
    <font>
      <b val="0"/>
      <i val="0"/>
      <strike val="0"/>
      <u val="none"/>
      <sz val="12"/>
      <color rgb="FF000000"/>
      <name val="Segoe UI"/>
    </font>
    <font>
      <b val="0"/>
      <i val="0"/>
      <strike val="0"/>
      <u val="none"/>
      <sz val="11"/>
      <color rgb="FF000000"/>
      <name val="Segoe UI"/>
    </font>
    <font>
      <b val="1"/>
      <i val="0"/>
      <strike val="0"/>
      <u val="none"/>
      <sz val="16"/>
      <color rgb="FF000000"/>
      <name val="Segoe UI"/>
    </font>
    <font>
      <b val="1"/>
      <i val="0"/>
      <strike val="0"/>
      <u val="none"/>
      <sz val="9"/>
      <color rgb="FF000000"/>
      <name val="Arial"/>
    </font>
    <font>
      <b val="0"/>
      <i val="0"/>
      <strike val="0"/>
      <u val="none"/>
      <sz val="9"/>
      <color rgb="FF000000"/>
      <name val="Calibri"/>
      <charset val="134"/>
    </font>
    <font>
      <b val="1"/>
      <i val="0"/>
      <strike val="0"/>
      <u val="none"/>
      <sz val="11"/>
      <color rgb="FF000000"/>
      <name val="Calibri"/>
      <charset val="134"/>
    </font>
    <font>
      <b val="1"/>
      <i val="0"/>
      <strike val="0"/>
      <u val="none"/>
      <sz val="12"/>
      <color rgb="FF000000"/>
      <name val="Segoe UI"/>
    </font>
    <font>
      <b val="0"/>
      <i val="0"/>
      <strike val="0"/>
      <u val="none"/>
      <sz val="11"/>
      <color rgb="FF000000"/>
      <name val="Arial"/>
    </font>
    <font>
      <b val="1"/>
      <i val="0"/>
      <strike val="0"/>
      <u val="none"/>
      <sz val="12"/>
      <color rgb="FFFFFFFF"/>
      <name val="Segoe UI"/>
    </font>
    <font>
      <b val="1"/>
      <i val="0"/>
      <strike val="0"/>
      <u val="none"/>
      <sz val="11"/>
      <color rgb="FF000000"/>
      <name val="Segoe UI"/>
    </font>
    <font>
      <b val="1"/>
      <i val="0"/>
      <strike val="0"/>
      <u val="none"/>
      <sz val="13.5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F2F2F2"/>
        <bgColor rgb="FFFFFFFF"/>
      </patternFill>
    </fill>
    <fill>
      <patternFill patternType="solid">
        <fgColor rgb="FFA6A6A6"/>
        <bgColor rgb="FFFFFFFF"/>
      </patternFill>
    </fill>
    <fill>
      <patternFill patternType="solid">
        <fgColor rgb="FFFFFFFF"/>
        <bgColor rgb="FFFFFFFF"/>
      </patternFill>
    </fill>
  </fills>
  <borders count="2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09">
    <xf xfId="0" fontId="0" numFmtId="0" fillId="0" borderId="0" applyFont="0" applyNumberFormat="0" applyFill="0" applyBorder="0" applyAlignment="0"/>
    <xf xfId="0" fontId="1" numFmtId="164" fillId="0" borderId="0" applyFont="1" applyNumberFormat="1" applyFill="0" applyBorder="0" applyAlignment="0"/>
    <xf xfId="0" fontId="2" numFmtId="164" fillId="0" borderId="0" applyFont="1" applyNumberFormat="1" applyFill="0" applyBorder="0" applyAlignment="0"/>
    <xf xfId="0" fontId="3" numFmtId="164" fillId="0" borderId="0" applyFont="1" applyNumberFormat="1" applyFill="0" applyBorder="0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0"/>
    <xf xfId="0" fontId="3" numFmtId="164" fillId="0" borderId="0" applyFont="1" applyNumberFormat="1" applyFill="0" applyBorder="0" applyAlignment="0"/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0"/>
    <xf xfId="0" fontId="4" numFmtId="0" fillId="0" borderId="0" applyFont="1" applyNumberFormat="0" applyFill="0" applyBorder="0" applyAlignment="1">
      <alignment horizontal="left" vertical="top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center" vertical="bottom" textRotation="0" wrapText="false" shrinkToFit="false"/>
    </xf>
    <xf xfId="0" fontId="5" numFmtId="0" fillId="0" borderId="0" applyFont="1" applyNumberFormat="0" applyFill="0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0"/>
    <xf xfId="0" fontId="6" numFmtId="0" fillId="0" borderId="0" applyFont="1" applyNumberFormat="0" applyFill="0" applyBorder="0" applyAlignment="0"/>
    <xf xfId="0" fontId="7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164" fillId="0" borderId="0" applyFont="1" applyNumberFormat="1" applyFill="0" applyBorder="0" applyAlignment="0"/>
    <xf xfId="0" fontId="8" numFmtId="164" fillId="0" borderId="0" applyFont="1" applyNumberFormat="1" applyFill="0" applyBorder="0" applyAlignment="1">
      <alignment horizontal="center" vertical="bottom" textRotation="0" wrapText="false" shrinkToFit="false"/>
    </xf>
    <xf xfId="0" fontId="9" numFmtId="164" fillId="0" borderId="0" applyFont="1" applyNumberFormat="1" applyFill="0" applyBorder="0" applyAlignment="1">
      <alignment vertical="center" textRotation="90" wrapText="false" shrinkToFit="false"/>
    </xf>
    <xf xfId="0" fontId="10" numFmtId="164" fillId="0" borderId="0" applyFont="1" applyNumberFormat="1" applyFill="0" applyBorder="0" applyAlignment="1">
      <alignment horizontal="center" vertical="bottom" textRotation="0" wrapText="false" shrinkToFit="false"/>
    </xf>
    <xf xfId="0" fontId="9" numFmtId="164" fillId="0" borderId="0" applyFont="1" applyNumberFormat="1" applyFill="0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1">
      <alignment horizontal="left" vertical="bottom" textRotation="0" wrapText="false" shrinkToFit="false"/>
    </xf>
    <xf xfId="0" fontId="8" numFmtId="0" fillId="0" borderId="0" applyFont="1" applyNumberFormat="0" applyFill="0" applyBorder="0" applyAlignment="0"/>
    <xf xfId="0" fontId="7" numFmtId="0" fillId="0" borderId="0" applyFont="1" applyNumberFormat="0" applyFill="0" applyBorder="0" applyAlignment="1">
      <alignment horizontal="left" vertical="center" textRotation="0" wrapText="false" shrinkToFit="false"/>
    </xf>
    <xf xfId="0" fontId="8" numFmtId="164" fillId="0" borderId="0" applyFont="1" applyNumberFormat="1" applyFill="0" applyBorder="0" applyAlignment="0"/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164" fillId="2" borderId="1" applyFont="1" applyNumberFormat="1" applyFill="1" applyBorder="1" applyAlignment="1">
      <alignment horizontal="center" vertical="center" textRotation="0" wrapText="false" shrinkToFit="false"/>
    </xf>
    <xf xfId="0" fontId="11" numFmtId="0" fillId="2" borderId="1" applyFont="1" applyNumberFormat="0" applyFill="1" applyBorder="1" applyAlignment="1">
      <alignment horizontal="center" vertical="center" textRotation="90" wrapText="false" shrinkToFit="false"/>
    </xf>
    <xf xfId="0" fontId="11" numFmtId="164" fillId="0" borderId="1" applyFont="1" applyNumberFormat="1" applyFill="0" applyBorder="1" applyAlignment="1">
      <alignment horizontal="center" vertical="center" textRotation="0" wrapText="false" shrinkToFit="false"/>
    </xf>
    <xf xfId="0" fontId="11" numFmtId="164" fillId="0" borderId="1" applyFont="1" applyNumberFormat="1" applyFill="0" applyBorder="1" applyAlignment="1">
      <alignment horizontal="center" vertical="center" textRotation="0" wrapText="true" shrinkToFit="false"/>
    </xf>
    <xf xfId="0" fontId="11" numFmtId="164" fillId="0" borderId="1" applyFont="1" applyNumberFormat="1" applyFill="0" applyBorder="1" applyAlignment="1">
      <alignment horizontal="center" vertical="center" textRotation="90" wrapText="false" shrinkToFit="false"/>
    </xf>
    <xf xfId="0" fontId="3" numFmtId="164" fillId="0" borderId="1" applyFont="1" applyNumberFormat="1" applyFill="0" applyBorder="1" applyAlignment="1">
      <alignment horizontal="center" vertical="center" textRotation="0" wrapText="false" shrinkToFit="false"/>
    </xf>
    <xf xfId="0" fontId="3" numFmtId="164" fillId="0" borderId="1" applyFont="1" applyNumberFormat="1" applyFill="0" applyBorder="1" applyAlignment="0"/>
    <xf xfId="0" fontId="11" numFmtId="164" fillId="0" borderId="1" applyFont="1" applyNumberFormat="1" applyFill="0" applyBorder="1" applyAlignment="1">
      <alignment horizontal="center" vertical="bottom" textRotation="0" wrapText="false" shrinkToFit="false"/>
    </xf>
    <xf xfId="0" fontId="3" numFmtId="164" fillId="0" borderId="1" applyFont="1" applyNumberFormat="1" applyFill="0" applyBorder="1" applyAlignment="1">
      <alignment horizontal="center" vertical="bottom" textRotation="0" wrapText="false" shrinkToFit="false"/>
    </xf>
    <xf xfId="0" fontId="3" numFmtId="165" fillId="0" borderId="2" applyFont="1" applyNumberFormat="1" applyFill="0" applyBorder="1" applyAlignment="0"/>
    <xf xfId="0" fontId="3" numFmtId="165" fillId="0" borderId="1" applyFont="1" applyNumberFormat="1" applyFill="0" applyBorder="1" applyAlignment="0"/>
    <xf xfId="0" fontId="2" numFmtId="164" fillId="0" borderId="1" applyFont="1" applyNumberFormat="1" applyFill="0" applyBorder="1" applyAlignment="1">
      <alignment horizontal="center" vertical="bottom" textRotation="0" wrapText="false" shrinkToFit="false"/>
    </xf>
    <xf xfId="0" fontId="3" numFmtId="164" fillId="2" borderId="1" applyFont="1" applyNumberFormat="1" applyFill="1" applyBorder="1" applyAlignment="1">
      <alignment horizontal="center" vertical="center" textRotation="0" wrapText="false" shrinkToFit="false"/>
    </xf>
    <xf xfId="0" fontId="1" numFmtId="164" fillId="0" borderId="0" applyFont="1" applyNumberFormat="1" applyFill="0" applyBorder="0" applyAlignment="0"/>
    <xf xfId="0" fontId="3" numFmtId="164" fillId="0" borderId="0" applyFont="1" applyNumberFormat="1" applyFill="0" applyBorder="0" applyAlignment="1">
      <alignment horizontal="center" vertical="center" textRotation="0" wrapText="false" shrinkToFit="false"/>
    </xf>
    <xf xfId="0" fontId="11" numFmtId="164" fillId="2" borderId="1" applyFont="1" applyNumberFormat="1" applyFill="1" applyBorder="1" applyAlignment="1">
      <alignment horizontal="center" vertical="center" textRotation="0" wrapText="false" shrinkToFit="false"/>
    </xf>
    <xf xfId="0" fontId="3" numFmtId="164" fillId="0" borderId="1" applyFont="1" applyNumberFormat="1" applyFill="0" applyBorder="1" applyAlignment="1">
      <alignment horizontal="center" vertical="center" textRotation="0" wrapText="false" shrinkToFit="false"/>
    </xf>
    <xf xfId="0" fontId="3" numFmtId="164" fillId="0" borderId="1" applyFont="1" applyNumberFormat="1" applyFill="0" applyBorder="1" applyAlignment="0"/>
    <xf xfId="0" fontId="11" numFmtId="0" fillId="2" borderId="1" applyFont="1" applyNumberFormat="0" applyFill="1" applyBorder="1" applyAlignment="1">
      <alignment horizontal="center" vertical="center" textRotation="0" wrapText="false" shrinkToFit="false"/>
    </xf>
    <xf xfId="0" fontId="11" numFmtId="0" fillId="0" borderId="1" applyFont="1" applyNumberFormat="0" applyFill="0" applyBorder="1" applyAlignment="1">
      <alignment horizontal="center" vertical="center" textRotation="0" wrapText="false" shrinkToFit="false"/>
    </xf>
    <xf xfId="0" fontId="11" numFmtId="0" fillId="3" borderId="3" applyFont="1" applyNumberFormat="0" applyFill="1" applyBorder="1" applyAlignment="1">
      <alignment horizontal="center" vertical="center" textRotation="90" wrapText="false" shrinkToFit="false"/>
    </xf>
    <xf xfId="0" fontId="11" numFmtId="0" fillId="3" borderId="4" applyFont="1" applyNumberFormat="0" applyFill="1" applyBorder="1" applyAlignment="1">
      <alignment horizontal="center" vertical="center" textRotation="90" wrapText="false" shrinkToFit="false"/>
    </xf>
    <xf xfId="0" fontId="3" numFmtId="164" fillId="0" borderId="5" applyFont="1" applyNumberFormat="1" applyFill="0" applyBorder="1" applyAlignment="1">
      <alignment horizontal="center" vertical="center" textRotation="0" wrapText="false" shrinkToFit="false"/>
    </xf>
    <xf xfId="0" fontId="3" numFmtId="164" fillId="0" borderId="5" applyFont="1" applyNumberFormat="1" applyFill="0" applyBorder="1" applyAlignment="0"/>
    <xf xfId="0" fontId="9" numFmtId="164" fillId="0" borderId="0" applyFont="1" applyNumberFormat="1" applyFill="0" applyBorder="0" applyAlignment="0"/>
    <xf xfId="0" fontId="9" numFmtId="164" fillId="0" borderId="0" applyFont="1" applyNumberFormat="1" applyFill="0" applyBorder="0" applyAlignment="1">
      <alignment vertical="center" textRotation="90" wrapText="false" shrinkToFit="false"/>
    </xf>
    <xf xfId="0" fontId="9" numFmtId="164" fillId="0" borderId="0" applyFont="1" applyNumberFormat="1" applyFill="0" applyBorder="0" applyAlignment="1">
      <alignment vertical="center" textRotation="0" wrapText="false" shrinkToFit="false"/>
    </xf>
    <xf xfId="0" fontId="3" numFmtId="164" fillId="0" borderId="1" applyFont="1" applyNumberFormat="1" applyFill="0" applyBorder="1" applyAlignment="0"/>
    <xf xfId="0" fontId="3" numFmtId="164" fillId="0" borderId="6" applyFont="1" applyNumberFormat="1" applyFill="0" applyBorder="1" applyAlignment="1">
      <alignment horizontal="center" vertical="center" textRotation="0" wrapText="false" shrinkToFit="false"/>
    </xf>
    <xf xfId="0" fontId="3" numFmtId="164" fillId="0" borderId="6" applyFont="1" applyNumberFormat="1" applyFill="0" applyBorder="1" applyAlignment="0"/>
    <xf xfId="0" fontId="3" numFmtId="165" fillId="0" borderId="6" applyFont="1" applyNumberFormat="1" applyFill="0" applyBorder="1" applyAlignment="0"/>
    <xf xfId="0" fontId="2" numFmtId="164" fillId="0" borderId="2" applyFont="1" applyNumberFormat="1" applyFill="0" applyBorder="1" applyAlignment="1">
      <alignment horizontal="center" vertical="bottom" textRotation="0" wrapText="false" shrinkToFit="false"/>
    </xf>
    <xf xfId="0" fontId="2" numFmtId="164" fillId="0" borderId="2" applyFont="1" applyNumberFormat="1" applyFill="0" applyBorder="1" applyAlignment="1">
      <alignment horizontal="center" vertical="bottom" textRotation="0" wrapText="false" shrinkToFit="false"/>
    </xf>
    <xf xfId="0" fontId="3" numFmtId="165" fillId="0" borderId="1" applyFont="1" applyNumberFormat="1" applyFill="0" applyBorder="1" applyAlignment="1">
      <alignment horizontal="center" vertical="bottom" textRotation="0" wrapText="false" shrinkToFit="false"/>
    </xf>
    <xf xfId="0" fontId="3" numFmtId="165" fillId="0" borderId="5" applyFont="1" applyNumberFormat="1" applyFill="0" applyBorder="1" applyAlignment="0"/>
    <xf xfId="0" fontId="3" numFmtId="164" fillId="0" borderId="7" applyFont="1" applyNumberFormat="1" applyFill="0" applyBorder="1" applyAlignment="0"/>
    <xf xfId="0" fontId="3" numFmtId="165" fillId="0" borderId="4" applyFont="1" applyNumberFormat="1" applyFill="0" applyBorder="1" applyAlignment="0"/>
    <xf xfId="0" fontId="3" numFmtId="165" fillId="0" borderId="8" applyFont="1" applyNumberFormat="1" applyFill="0" applyBorder="1" applyAlignment="0"/>
    <xf xfId="0" fontId="3" numFmtId="165" fillId="0" borderId="9" applyFont="1" applyNumberFormat="1" applyFill="0" applyBorder="1" applyAlignment="0"/>
    <xf xfId="0" fontId="3" numFmtId="165" fillId="0" borderId="10" applyFont="1" applyNumberFormat="1" applyFill="0" applyBorder="1" applyAlignment="1">
      <alignment horizontal="center" vertical="bottom" textRotation="0" wrapText="false" shrinkToFit="false"/>
    </xf>
    <xf xfId="0" fontId="2" numFmtId="164" fillId="0" borderId="11" applyFont="1" applyNumberFormat="1" applyFill="0" applyBorder="1" applyAlignment="1">
      <alignment horizontal="center" vertical="bottom" textRotation="0" wrapText="false" shrinkToFit="false"/>
    </xf>
    <xf xfId="0" fontId="11" numFmtId="164" fillId="0" borderId="0" applyFont="1" applyNumberFormat="1" applyFill="0" applyBorder="0" applyAlignment="0"/>
    <xf xfId="0" fontId="4" numFmtId="164" fillId="0" borderId="0" applyFont="1" applyNumberFormat="1" applyFill="0" applyBorder="0" applyAlignment="0"/>
    <xf xfId="0" fontId="8" numFmtId="164" fillId="0" borderId="0" applyFont="1" applyNumberFormat="1" applyFill="0" applyBorder="0" applyAlignment="0"/>
    <xf xfId="0" fontId="11" numFmtId="164" fillId="0" borderId="0" applyFont="1" applyNumberFormat="1" applyFill="0" applyBorder="0" applyAlignment="1">
      <alignment horizontal="center" vertical="center" textRotation="0" wrapText="false" shrinkToFit="false"/>
    </xf>
    <xf xfId="0" fontId="11" numFmtId="164" fillId="0" borderId="0" applyFont="1" applyNumberFormat="1" applyFill="0" applyBorder="0" applyAlignment="1">
      <alignment horizontal="center" vertical="center" textRotation="255" wrapText="false" shrinkToFit="false"/>
    </xf>
    <xf xfId="0" fontId="11" numFmtId="0" fillId="0" borderId="0" applyFont="1" applyNumberFormat="0" applyFill="0" applyBorder="0" applyAlignment="0"/>
    <xf xfId="0" fontId="3" numFmtId="165" fillId="0" borderId="12" applyFont="1" applyNumberFormat="1" applyFill="0" applyBorder="1" applyAlignment="0"/>
    <xf xfId="0" fontId="3" numFmtId="165" fillId="0" borderId="12" applyFont="1" applyNumberFormat="1" applyFill="0" applyBorder="1" applyAlignment="0"/>
    <xf xfId="0" fontId="3" numFmtId="165" fillId="0" borderId="7" applyFont="1" applyNumberFormat="1" applyFill="0" applyBorder="1" applyAlignment="0"/>
    <xf xfId="0" fontId="4" numFmtId="0" fillId="0" borderId="0" applyFont="1" applyNumberFormat="0" applyFill="0" applyBorder="0" applyAlignment="1">
      <alignment horizontal="left" vertical="top" textRotation="0" wrapText="true" shrinkToFit="false"/>
    </xf>
    <xf xfId="0" fontId="5" numFmtId="0" fillId="0" borderId="0" applyFont="1" applyNumberFormat="0" applyFill="0" applyBorder="0" applyAlignment="1">
      <alignment vertical="center" textRotation="0" wrapText="true" shrinkToFit="false"/>
    </xf>
    <xf xfId="0" fontId="5" numFmtId="0" fillId="0" borderId="0" applyFont="1" applyNumberFormat="0" applyFill="0" applyBorder="0" applyAlignment="1">
      <alignment vertical="bottom" textRotation="0" wrapText="true" shrinkToFit="false"/>
    </xf>
    <xf xfId="0" fontId="5" numFmtId="0" fillId="0" borderId="0" applyFont="1" applyNumberFormat="0" applyFill="0" applyBorder="0" applyAlignment="1">
      <alignment horizontal="left" vertical="bottom" textRotation="0" wrapText="true" shrinkToFit="false"/>
    </xf>
    <xf xfId="0" fontId="8" numFmtId="0" fillId="0" borderId="0" applyFont="1" applyNumberFormat="0" applyFill="0" applyBorder="0" applyAlignment="1">
      <alignment horizontal="center" vertical="center" textRotation="0" wrapText="true" shrinkToFit="false"/>
    </xf>
    <xf xfId="0" fontId="11" numFmtId="164" fillId="2" borderId="1" applyFont="1" applyNumberFormat="1" applyFill="1" applyBorder="1" applyAlignment="1">
      <alignment horizontal="center" vertical="center" textRotation="0" wrapText="true" shrinkToFit="false"/>
    </xf>
    <xf xfId="0" fontId="11" numFmtId="164" fillId="0" borderId="0" applyFont="1" applyNumberFormat="1" applyFill="0" applyBorder="0" applyAlignment="1">
      <alignment vertical="bottom" textRotation="0" wrapText="true" shrinkToFit="false"/>
    </xf>
    <xf xfId="0" fontId="2" numFmtId="164" fillId="0" borderId="11" applyFont="1" applyNumberFormat="1" applyFill="0" applyBorder="1" applyAlignment="1">
      <alignment horizontal="center" vertical="bottom" textRotation="0" wrapText="false" shrinkToFit="false"/>
    </xf>
    <xf xfId="0" fontId="3" numFmtId="164" fillId="0" borderId="13" applyFont="1" applyNumberFormat="1" applyFill="0" applyBorder="1" applyAlignment="0"/>
    <xf xfId="0" fontId="11" numFmtId="164" fillId="0" borderId="1" applyFont="1" applyNumberFormat="1" applyFill="0" applyBorder="1" applyAlignment="1">
      <alignment vertical="bottom" textRotation="0" wrapText="true" shrinkToFit="false"/>
    </xf>
    <xf xfId="0" fontId="3" numFmtId="164" fillId="0" borderId="2" applyFont="1" applyNumberFormat="1" applyFill="0" applyBorder="1" applyAlignment="1">
      <alignment horizontal="center" vertical="bottom" textRotation="0" wrapText="false" shrinkToFit="false"/>
    </xf>
    <xf xfId="0" fontId="3" numFmtId="165" fillId="4" borderId="1" applyFont="1" applyNumberFormat="1" applyFill="1" applyBorder="1" applyAlignment="0"/>
    <xf xfId="0" fontId="3" numFmtId="165" fillId="0" borderId="3" applyFont="1" applyNumberFormat="1" applyFill="0" applyBorder="1" applyAlignment="0"/>
    <xf xfId="0" fontId="3" numFmtId="165" fillId="0" borderId="14" applyFont="1" applyNumberFormat="1" applyFill="0" applyBorder="1" applyAlignment="0"/>
    <xf xfId="0" fontId="2" numFmtId="164" fillId="0" borderId="2" applyFont="1" applyNumberFormat="1" applyFill="0" applyBorder="1" applyAlignment="1">
      <alignment horizontal="center" vertical="bottom" textRotation="0" wrapText="false" shrinkToFit="false"/>
    </xf>
    <xf xfId="0" fontId="2" numFmtId="164" fillId="0" borderId="2" applyFont="1" applyNumberFormat="1" applyFill="0" applyBorder="1" applyAlignment="1">
      <alignment horizontal="center" vertical="bottom" textRotation="0" wrapText="false" shrinkToFit="false"/>
    </xf>
    <xf xfId="0" fontId="3" numFmtId="165" fillId="0" borderId="2" applyFont="1" applyNumberFormat="1" applyFill="0" applyBorder="1" applyAlignment="0"/>
    <xf xfId="0" fontId="11" numFmtId="165" fillId="0" borderId="0" applyFont="1" applyNumberFormat="1" applyFill="0" applyBorder="0" applyAlignment="0"/>
    <xf xfId="0" fontId="2" numFmtId="164" fillId="0" borderId="1" applyFont="1" applyNumberFormat="1" applyFill="0" applyBorder="1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0"/>
    <xf xfId="0" fontId="11" numFmtId="164" fillId="2" borderId="1" applyFont="1" applyNumberFormat="1" applyFill="1" applyBorder="1" applyAlignment="1">
      <alignment horizontal="center" vertical="center" textRotation="0" wrapText="false" shrinkToFit="false"/>
    </xf>
    <xf xfId="0" fontId="11" numFmtId="164" fillId="2" borderId="1" applyFont="1" applyNumberFormat="1" applyFill="1" applyBorder="1" applyAlignment="1">
      <alignment horizontal="center" vertical="center" textRotation="90" wrapText="true" shrinkToFit="false"/>
    </xf>
    <xf xfId="0" fontId="11" numFmtId="164" fillId="2" borderId="1" applyFont="1" applyNumberFormat="1" applyFill="1" applyBorder="1" applyAlignment="1">
      <alignment horizontal="center" vertical="center" textRotation="90" wrapText="false" shrinkToFit="false"/>
    </xf>
    <xf xfId="0" fontId="12" numFmtId="0" fillId="0" borderId="15" applyFont="1" applyNumberFormat="0" applyFill="0" applyBorder="1" applyAlignment="1">
      <alignment horizontal="center" vertical="center" textRotation="0" wrapText="true" shrinkToFit="false"/>
    </xf>
    <xf xfId="0" fontId="12" numFmtId="0" fillId="0" borderId="16" applyFont="1" applyNumberFormat="0" applyFill="0" applyBorder="1" applyAlignment="1">
      <alignment horizontal="center" vertical="center" textRotation="0" wrapText="true" shrinkToFit="false"/>
    </xf>
    <xf xfId="0" fontId="12" numFmtId="0" fillId="0" borderId="17" applyFont="1" applyNumberFormat="0" applyFill="0" applyBorder="1" applyAlignment="1">
      <alignment horizontal="center" vertical="center" textRotation="0" wrapText="true" shrinkToFit="false"/>
    </xf>
    <xf xfId="0" fontId="12" numFmtId="0" fillId="0" borderId="18" applyFont="1" applyNumberFormat="0" applyFill="0" applyBorder="1" applyAlignment="1">
      <alignment horizontal="center" vertical="center" textRotation="0" wrapText="true" shrinkToFit="false"/>
    </xf>
    <xf xfId="0" fontId="12" numFmtId="0" fillId="0" borderId="19" applyFont="1" applyNumberFormat="0" applyFill="0" applyBorder="1" applyAlignment="1">
      <alignment horizontal="center" vertical="center" textRotation="0" wrapText="true" shrinkToFit="false"/>
    </xf>
    <xf xfId="0" fontId="12" numFmtId="0" fillId="0" borderId="20" applyFont="1" applyNumberFormat="0" applyFill="0" applyBorder="1" applyAlignment="1">
      <alignment horizontal="center" vertical="center" textRotation="0" wrapText="true" shrinkToFit="false"/>
    </xf>
    <xf xfId="0" fontId="7" numFmtId="0" fillId="0" borderId="0" applyFont="1" applyNumberFormat="0" applyFill="0" applyBorder="0" applyAlignment="1">
      <alignment horizontal="left" vertical="center" textRotation="0" wrapText="tru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tabColor rgb="FFFF0000"/>
    <outlinePr summaryBelow="1" summaryRight="1"/>
    <pageSetUpPr fitToPage="1"/>
  </sheetPr>
  <dimension ref="A1:HD40"/>
  <sheetViews>
    <sheetView tabSelected="1" workbookViewId="0" zoomScale="55" zoomScaleNormal="55" showGridLines="true" showRowColHeaders="1">
      <pane xSplit="6" ySplit="5" activePane="bottomRight" state="frozen" topLeftCell="G12"/>
      <selection pane="bottomRight" activeCell="CL8" sqref="CL8"/>
    </sheetView>
  </sheetViews>
  <sheetFormatPr defaultRowHeight="14.4" defaultColWidth="9.140625" outlineLevelRow="0" outlineLevelCol="0"/>
  <cols>
    <col min="1" max="1" width="6.5703125" hidden="true" customWidth="true" style="5"/>
    <col min="2" max="2" width="16.28515625" customWidth="true" style="84"/>
    <col min="3" max="3" width="11.28515625" customWidth="true" style="5"/>
    <col min="4" max="4" width="11.85546875" customWidth="true" style="5"/>
    <col min="5" max="5" width="7.140625" customWidth="true" style="5"/>
    <col min="6" max="6" width="27.7109375" customWidth="true" style="6"/>
    <col min="7" max="7" width="5.5703125" customWidth="true" style="5"/>
    <col min="8" max="8" width="5.5703125" customWidth="true" style="5"/>
    <col min="9" max="9" width="7" customWidth="true" style="5"/>
    <col min="10" max="10" width="5.7109375" customWidth="true" style="5"/>
    <col min="11" max="11" width="5.7109375" customWidth="true" style="5"/>
    <col min="12" max="12" width="5.42578125" customWidth="true" style="5"/>
    <col min="13" max="13" width="5.42578125" customWidth="true" style="5"/>
    <col min="14" max="14" width="7.28515625" customWidth="true" style="5"/>
    <col min="15" max="15" width="6.7109375" customWidth="true" style="5"/>
    <col min="16" max="16" width="7.28515625" customWidth="true" style="5"/>
    <col min="17" max="17" width="6.28515625" customWidth="true" style="5"/>
    <col min="18" max="18" width="7.42578125" customWidth="true" style="5"/>
    <col min="19" max="19" width="7" customWidth="true" style="5"/>
    <col min="20" max="20" width="9.28515625" customWidth="true" style="5"/>
    <col min="21" max="21" width="6.7109375" customWidth="true" style="7"/>
    <col min="22" max="22" width="6.7109375" customWidth="true" style="7"/>
    <col min="23" max="23" width="6.28515625" customWidth="true" style="7"/>
    <col min="24" max="24" width="6.28515625" customWidth="true" style="7"/>
    <col min="25" max="25" width="6" customWidth="true" style="7"/>
    <col min="26" max="26" width="6" customWidth="true" style="5"/>
    <col min="27" max="27" width="7.28515625" customWidth="true" style="5"/>
    <col min="28" max="28" width="6" customWidth="true" style="5"/>
    <col min="29" max="29" width="6" customWidth="true" style="5"/>
    <col min="30" max="30" width="7" customWidth="true" style="5"/>
    <col min="31" max="31" width="7" customWidth="true" style="5"/>
    <col min="32" max="32" width="5.28515625" customWidth="true" style="5"/>
    <col min="33" max="33" width="6.28515625" customWidth="true" style="5"/>
    <col min="34" max="34" width="6.28515625" customWidth="true" style="5"/>
    <col min="35" max="35" width="6.28515625" customWidth="true" style="5"/>
    <col min="36" max="36" width="6.28515625" customWidth="true" style="5"/>
    <col min="37" max="37" width="6.28515625" customWidth="true" style="5"/>
    <col min="38" max="38" width="6.28515625" customWidth="true" style="5"/>
    <col min="39" max="39" width="6.28515625" customWidth="true" style="5"/>
    <col min="40" max="40" width="6.28515625" customWidth="true" style="5"/>
    <col min="41" max="41" width="6.28515625" customWidth="true" style="5"/>
    <col min="42" max="42" width="6.28515625" customWidth="true" style="5"/>
    <col min="43" max="43" width="6.28515625" customWidth="true" style="5"/>
    <col min="44" max="44" width="6.28515625" customWidth="true" style="5"/>
    <col min="45" max="45" width="6.28515625" customWidth="true" style="5"/>
    <col min="46" max="46" width="6.28515625" customWidth="true" style="5"/>
    <col min="47" max="47" width="6.28515625" customWidth="true" style="5"/>
    <col min="48" max="48" width="6" customWidth="true" style="5"/>
    <col min="49" max="49" width="6" customWidth="true" style="5"/>
    <col min="50" max="50" width="6" customWidth="true" style="5"/>
    <col min="51" max="51" width="9.7109375" customWidth="true" style="5"/>
    <col min="52" max="52" width="6" customWidth="true" style="5"/>
    <col min="53" max="53" width="6" customWidth="true" style="5"/>
    <col min="54" max="54" width="6" customWidth="true" style="5"/>
    <col min="55" max="55" width="6" customWidth="true" style="5"/>
    <col min="56" max="56" width="6" customWidth="true" style="5"/>
    <col min="57" max="57" width="6" customWidth="true" style="5"/>
    <col min="58" max="58" width="6" customWidth="true" style="5"/>
    <col min="59" max="59" width="7.140625" customWidth="true" style="5"/>
    <col min="60" max="60" width="7.140625" customWidth="true" style="5"/>
    <col min="61" max="61" width="7.140625" customWidth="true" style="5"/>
    <col min="62" max="62" width="7.140625" customWidth="true" style="5"/>
    <col min="63" max="63" width="7.140625" customWidth="true" style="5"/>
    <col min="64" max="64" width="7.140625" customWidth="true" style="5"/>
    <col min="65" max="65" width="7.140625" customWidth="true" style="5"/>
    <col min="66" max="66" width="7.140625" customWidth="true" style="5"/>
    <col min="67" max="67" width="7.140625" customWidth="true" style="5"/>
    <col min="68" max="68" width="7.140625" customWidth="true" style="5"/>
    <col min="69" max="69" width="7.140625" customWidth="true" style="5"/>
    <col min="70" max="70" width="7.140625" customWidth="true" style="5"/>
    <col min="71" max="71" width="7.140625" customWidth="true" style="5"/>
    <col min="72" max="72" width="7.140625" customWidth="true" style="5"/>
    <col min="73" max="73" width="7.140625" customWidth="true" style="5"/>
    <col min="74" max="74" width="7.140625" customWidth="true" style="5"/>
    <col min="75" max="75" width="6" customWidth="true" style="5"/>
    <col min="76" max="76" width="6" customWidth="true" style="5"/>
    <col min="77" max="77" width="6" customWidth="true" style="5"/>
    <col min="78" max="78" width="6" customWidth="true" style="5"/>
    <col min="79" max="79" width="6" customWidth="true" style="5"/>
    <col min="80" max="80" width="6" customWidth="true" style="5"/>
    <col min="81" max="81" width="6" customWidth="true" style="5"/>
    <col min="82" max="82" width="6" customWidth="true" style="5"/>
    <col min="83" max="83" width="6" customWidth="true" style="5"/>
    <col min="84" max="84" width="7.140625" customWidth="true" style="5"/>
    <col min="85" max="85" width="7.140625" customWidth="true" style="5"/>
    <col min="86" max="86" width="7.140625" customWidth="true" style="5"/>
    <col min="87" max="87" width="7.140625" customWidth="true" style="5"/>
    <col min="88" max="88" width="8.42578125" customWidth="true" style="5"/>
    <col min="89" max="89" width="7.140625" customWidth="true" style="5"/>
    <col min="90" max="90" width="6.5703125" customWidth="true" style="5"/>
    <col min="91" max="91" width="7.140625" customWidth="true" style="5"/>
    <col min="92" max="92" width="7.140625" customWidth="true" style="5"/>
    <col min="93" max="93" width="7.140625" customWidth="true" style="5"/>
    <col min="94" max="94" width="7.140625" customWidth="true" style="5"/>
    <col min="95" max="95" width="7.140625" customWidth="true" style="5"/>
    <col min="96" max="96" width="5.5703125" customWidth="true" style="5"/>
    <col min="97" max="97" width="5.5703125" customWidth="true" style="5"/>
    <col min="98" max="98" width="5.5703125" customWidth="true" style="5"/>
    <col min="99" max="99" width="7" customWidth="true" style="5"/>
    <col min="100" max="100" width="5.42578125" customWidth="true" style="5"/>
    <col min="101" max="101" width="5.42578125" customWidth="true" style="5"/>
    <col min="102" max="102" width="5.42578125" customWidth="true" style="5"/>
    <col min="103" max="103" width="5.42578125" customWidth="true" style="5"/>
    <col min="104" max="104" width="5.7109375" customWidth="true" style="5"/>
    <col min="105" max="105" width="5.7109375" customWidth="true" style="5"/>
    <col min="106" max="106" width="5.7109375" customWidth="true" style="5"/>
    <col min="107" max="107" width="6" customWidth="true" style="5"/>
    <col min="108" max="108" width="6" customWidth="true" style="5"/>
    <col min="109" max="109" width="6" customWidth="true" style="5"/>
    <col min="110" max="110" width="6" customWidth="true" style="5"/>
    <col min="111" max="111" width="6" customWidth="true" style="5"/>
    <col min="112" max="112" width="6" customWidth="true" style="5"/>
    <col min="113" max="113" width="6" customWidth="true" style="5"/>
    <col min="114" max="114" width="6" customWidth="true" style="5"/>
    <col min="115" max="115" width="6" customWidth="true" style="5"/>
    <col min="116" max="116" width="6" customWidth="true" style="5"/>
    <col min="117" max="117" width="6" customWidth="true" style="5"/>
    <col min="118" max="118" width="6" customWidth="true" style="5"/>
    <col min="119" max="119" width="6" customWidth="true" style="5"/>
    <col min="120" max="120" width="6" customWidth="true" style="5"/>
    <col min="121" max="121" width="5.7109375" customWidth="true" style="5"/>
    <col min="122" max="122" width="6" customWidth="true" style="5"/>
    <col min="123" max="123" width="6" customWidth="true" style="5"/>
    <col min="124" max="124" width="6" customWidth="true" style="5"/>
    <col min="125" max="125" width="6.85546875" customWidth="true" style="5"/>
    <col min="126" max="126" width="6.85546875" customWidth="true" style="5"/>
    <col min="127" max="127" width="6.85546875" customWidth="true" style="5"/>
    <col min="128" max="128" width="6" customWidth="true" style="5"/>
    <col min="129" max="129" width="6" customWidth="true" style="5"/>
    <col min="130" max="130" width="6" customWidth="true" style="5"/>
    <col min="131" max="131" width="6" customWidth="true" style="5"/>
    <col min="132" max="132" width="6" customWidth="true" style="5"/>
    <col min="133" max="133" width="6" customWidth="true" style="5"/>
    <col min="134" max="134" width="5.7109375" customWidth="true" style="5"/>
    <col min="135" max="135" width="6" customWidth="true" style="5"/>
    <col min="136" max="136" width="6" customWidth="true" style="5"/>
    <col min="137" max="137" width="6" customWidth="true" style="5"/>
    <col min="138" max="138" width="6" customWidth="true" style="5"/>
    <col min="139" max="139" width="5.7109375" customWidth="true" style="5"/>
    <col min="140" max="140" width="5.7109375" customWidth="true" style="5"/>
    <col min="141" max="141" width="5.7109375" customWidth="true" style="5"/>
    <col min="142" max="142" width="5.7109375" customWidth="true" style="5"/>
    <col min="143" max="143" width="5.7109375" customWidth="true" style="5"/>
    <col min="144" max="144" width="4.85546875" customWidth="true" style="5"/>
    <col min="145" max="145" width="4.28515625" customWidth="true" style="5"/>
    <col min="146" max="146" width="5.42578125" customWidth="true" style="5"/>
    <col min="147" max="147" width="5.7109375" customWidth="true" style="5"/>
    <col min="148" max="148" width="5.7109375" customWidth="true" style="5"/>
    <col min="149" max="149" width="5.7109375" customWidth="true" style="5"/>
    <col min="150" max="150" width="5.7109375" customWidth="true" style="5"/>
    <col min="151" max="151" width="5.42578125" customWidth="true" style="5"/>
    <col min="152" max="152" width="5.7109375" customWidth="true" style="5"/>
    <col min="153" max="153" width="5.7109375" customWidth="true" style="5"/>
    <col min="154" max="154" width="5.7109375" customWidth="true" style="5"/>
    <col min="155" max="155" width="5.7109375" customWidth="true" style="5"/>
    <col min="156" max="156" width="5.7109375" customWidth="true" style="5"/>
    <col min="157" max="157" width="5.7109375" customWidth="true" style="5"/>
    <col min="158" max="158" width="5.7109375" customWidth="true" style="5"/>
    <col min="159" max="159" width="5.7109375" customWidth="true" style="5"/>
    <col min="160" max="160" width="2.7109375" customWidth="true" style="5"/>
    <col min="161" max="161" width="0.42578125" customWidth="true" style="5"/>
    <col min="162" max="162" width="6.28515625" customWidth="true" style="5"/>
    <col min="163" max="163" width="5.42578125" customWidth="true" style="5"/>
    <col min="164" max="164" width="5.42578125" customWidth="true" style="5"/>
    <col min="165" max="165" width="5.42578125" customWidth="true" style="5"/>
    <col min="166" max="166" width="5.42578125" customWidth="true" style="5"/>
    <col min="167" max="167" width="5.42578125" customWidth="true" style="5"/>
    <col min="168" max="168" width="5.42578125" customWidth="true" style="5"/>
    <col min="169" max="169" width="5.42578125" customWidth="true" style="5"/>
    <col min="170" max="170" width="5.7109375" customWidth="true" style="5"/>
    <col min="171" max="171" width="5.7109375" customWidth="true" style="5"/>
    <col min="172" max="172" width="5.7109375" customWidth="true" style="5"/>
    <col min="173" max="173" width="5.7109375" customWidth="true" style="5"/>
    <col min="174" max="174" width="5.7109375" customWidth="true" style="5"/>
    <col min="175" max="175" width="5.7109375" customWidth="true" style="5"/>
    <col min="176" max="176" width="5.7109375" customWidth="true" style="5"/>
    <col min="177" max="177" width="5.7109375" customWidth="true" style="5"/>
    <col min="178" max="178" width="5.7109375" customWidth="true" style="5"/>
    <col min="179" max="179" width="5.7109375" customWidth="true" style="5"/>
    <col min="180" max="180" width="5.7109375" customWidth="true" style="5"/>
    <col min="181" max="181" width="5.7109375" customWidth="true" style="5"/>
    <col min="182" max="182" width="5.7109375" customWidth="true" style="5"/>
    <col min="183" max="183" width="5.7109375" customWidth="true" style="5"/>
    <col min="184" max="184" width="5.7109375" customWidth="true" style="5"/>
    <col min="185" max="185" width="5.7109375" customWidth="true" style="5"/>
    <col min="186" max="186" width="5.7109375" customWidth="true" style="5"/>
    <col min="187" max="187" width="5.7109375" customWidth="true" style="5"/>
    <col min="188" max="188" width="5.7109375" customWidth="true" style="5"/>
    <col min="189" max="189" width="5.7109375" customWidth="true" style="5"/>
    <col min="190" max="190" width="5.7109375" customWidth="true" style="5"/>
    <col min="191" max="191" width="5.7109375" customWidth="true" style="5"/>
    <col min="192" max="192" width="5.7109375" customWidth="true" style="5"/>
    <col min="193" max="193" width="5.7109375" customWidth="true" style="5"/>
    <col min="194" max="194" width="5.7109375" customWidth="true" style="5"/>
    <col min="195" max="195" width="5.7109375" customWidth="true" style="5"/>
    <col min="196" max="196" width="5.7109375" customWidth="true" style="5"/>
    <col min="197" max="197" width="5.7109375" customWidth="true" style="5"/>
    <col min="198" max="198" width="5.7109375" customWidth="true" style="5"/>
    <col min="199" max="199" width="4" customWidth="true" style="5"/>
    <col min="200" max="200" width="3.42578125" customWidth="true" style="5"/>
    <col min="201" max="201" width="4" customWidth="true" style="5"/>
    <col min="202" max="202" width="4.85546875" customWidth="true" style="5"/>
    <col min="203" max="203" width="4.140625" customWidth="true" style="5"/>
    <col min="204" max="204" width="3.42578125" customWidth="true" style="5"/>
    <col min="205" max="205" width="3.28515625" customWidth="true" style="5"/>
    <col min="206" max="206" width="4" customWidth="true" style="5"/>
    <col min="207" max="207" width="4.28515625" customWidth="true" style="5"/>
    <col min="208" max="208" width="6" customWidth="true" style="5"/>
    <col min="209" max="209" width="5" customWidth="true" style="5"/>
    <col min="210" max="210" width="3" customWidth="true" style="5"/>
    <col min="211" max="211" width="9.7109375" customWidth="true" style="69"/>
    <col min="212" max="212" width="9.140625" style="5"/>
  </cols>
  <sheetData>
    <row r="1" spans="1:212" customHeight="1" ht="25.5" hidden="true" s="1" customFormat="1">
      <c r="A1" s="8" t="s">
        <v>0</v>
      </c>
      <c r="B1" s="78"/>
      <c r="C1" s="9"/>
      <c r="D1" s="10"/>
      <c r="F1" s="11"/>
      <c r="U1" s="41"/>
      <c r="V1" s="41"/>
      <c r="W1" s="41"/>
      <c r="X1" s="41"/>
      <c r="Y1" s="41"/>
      <c r="HC1" s="70"/>
    </row>
    <row r="2" spans="1:212" customHeight="1" ht="19.15" hidden="true" s="1" customFormat="1">
      <c r="A2" s="12" t="s">
        <v>1</v>
      </c>
      <c r="B2" s="79"/>
      <c r="C2" s="13"/>
      <c r="D2" s="107" t="s">
        <v>2</v>
      </c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7"/>
      <c r="W2" s="107"/>
      <c r="X2" s="107"/>
      <c r="Y2" s="107"/>
      <c r="Z2" s="107"/>
      <c r="AA2" s="107"/>
      <c r="AB2" s="107"/>
      <c r="AC2" s="107"/>
      <c r="AD2" s="107"/>
      <c r="AE2" s="107"/>
      <c r="AF2" s="107"/>
      <c r="AG2" s="107"/>
      <c r="AH2" s="107"/>
      <c r="AI2" s="107"/>
      <c r="AJ2" s="107"/>
      <c r="AK2" s="107"/>
      <c r="AL2" s="107"/>
      <c r="AM2" s="107"/>
      <c r="AN2" s="107"/>
      <c r="AO2" s="107"/>
      <c r="AP2" s="107"/>
      <c r="AQ2" s="107"/>
      <c r="AR2" s="107"/>
      <c r="AS2" s="107"/>
      <c r="AT2" s="107"/>
      <c r="AU2" s="107"/>
      <c r="AV2" s="107"/>
      <c r="AW2" s="107"/>
      <c r="AX2" s="107"/>
      <c r="AY2" s="107"/>
      <c r="AZ2" s="107"/>
      <c r="BA2" s="107"/>
      <c r="BB2" s="107"/>
      <c r="BC2" s="107"/>
      <c r="BD2" s="107"/>
      <c r="BE2" s="107"/>
      <c r="BF2" s="107"/>
      <c r="BG2" s="107"/>
      <c r="BH2" s="107"/>
      <c r="BI2" s="107"/>
      <c r="BJ2" s="107"/>
      <c r="BK2" s="107"/>
      <c r="BL2" s="107"/>
      <c r="BM2" s="107"/>
      <c r="BN2" s="107"/>
      <c r="BO2" s="107"/>
      <c r="BP2" s="107"/>
      <c r="BQ2" s="107"/>
      <c r="BR2" s="107"/>
      <c r="BS2" s="107"/>
      <c r="BT2" s="107"/>
      <c r="BU2" s="107"/>
      <c r="BV2" s="107"/>
      <c r="BW2" s="107"/>
      <c r="BX2" s="107"/>
      <c r="BY2" s="107"/>
      <c r="BZ2" s="107"/>
      <c r="CA2" s="107"/>
      <c r="CB2" s="107"/>
      <c r="CC2" s="107"/>
      <c r="CD2" s="107"/>
      <c r="CE2" s="107"/>
      <c r="CF2" s="107"/>
      <c r="CG2" s="107"/>
      <c r="CH2" s="107"/>
      <c r="CI2" s="107"/>
      <c r="CJ2" s="107"/>
      <c r="CK2" s="107"/>
      <c r="CL2" s="107"/>
      <c r="CM2" s="107"/>
      <c r="CN2" s="107"/>
      <c r="CO2" s="107"/>
      <c r="CP2" s="107"/>
      <c r="CQ2" s="107"/>
      <c r="CR2" s="107"/>
      <c r="CS2" s="107"/>
      <c r="CT2" s="107"/>
      <c r="CU2" s="107"/>
      <c r="CV2" s="107"/>
      <c r="CW2" s="107"/>
      <c r="CX2" s="107"/>
      <c r="CY2" s="107"/>
      <c r="CZ2" s="107"/>
      <c r="DA2" s="107"/>
      <c r="DB2" s="107"/>
      <c r="DC2" s="52"/>
      <c r="DD2" s="52"/>
      <c r="DE2" s="52"/>
      <c r="DF2" s="52"/>
      <c r="DG2" s="52"/>
      <c r="DH2" s="52"/>
      <c r="DI2" s="52"/>
      <c r="DJ2" s="52"/>
      <c r="DK2" s="52"/>
      <c r="DL2" s="52"/>
      <c r="DM2" s="52"/>
      <c r="DN2" s="52"/>
      <c r="DO2" s="52"/>
      <c r="DP2" s="52"/>
      <c r="DQ2" s="52"/>
      <c r="DR2" s="52"/>
      <c r="DS2" s="52"/>
      <c r="DT2" s="52"/>
      <c r="DU2" s="52"/>
      <c r="DV2" s="52"/>
      <c r="DW2" s="52"/>
      <c r="DX2" s="52"/>
      <c r="DY2" s="52"/>
      <c r="DZ2" s="52"/>
      <c r="EA2" s="52"/>
      <c r="EB2" s="52"/>
      <c r="EC2" s="52"/>
      <c r="ED2" s="52"/>
      <c r="EE2" s="52"/>
      <c r="EF2" s="52"/>
      <c r="EG2" s="52"/>
      <c r="EH2" s="52"/>
      <c r="HC2" s="70"/>
    </row>
    <row r="3" spans="1:212" customHeight="1" ht="19.15" hidden="true" s="2" customFormat="1">
      <c r="A3" s="14" t="s">
        <v>3</v>
      </c>
      <c r="B3" s="80"/>
      <c r="C3" s="15"/>
      <c r="D3" s="16" t="s">
        <v>2</v>
      </c>
      <c r="E3" s="17"/>
      <c r="F3" s="18"/>
      <c r="G3" s="19"/>
      <c r="H3" s="19"/>
      <c r="I3" s="19"/>
      <c r="J3" s="17"/>
      <c r="K3" s="17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53"/>
      <c r="DD3" s="53"/>
      <c r="DE3" s="53"/>
      <c r="DF3" s="53"/>
      <c r="DG3" s="53"/>
      <c r="DH3" s="53"/>
      <c r="DI3" s="53"/>
      <c r="DJ3" s="53"/>
      <c r="DK3" s="53"/>
      <c r="DL3" s="53"/>
      <c r="DM3" s="53"/>
      <c r="DN3" s="53"/>
      <c r="DO3" s="53"/>
      <c r="DP3" s="53"/>
      <c r="DQ3" s="53"/>
      <c r="DR3" s="53"/>
      <c r="DS3" s="53"/>
      <c r="DT3" s="53"/>
      <c r="DU3" s="53"/>
      <c r="DV3" s="53"/>
      <c r="DW3" s="53"/>
      <c r="DX3" s="53"/>
      <c r="DY3" s="53"/>
      <c r="DZ3" s="53"/>
      <c r="EA3" s="53"/>
      <c r="EB3" s="53"/>
      <c r="EC3" s="53"/>
      <c r="ED3" s="53"/>
      <c r="EE3" s="53"/>
      <c r="EF3" s="53"/>
      <c r="EG3" s="53"/>
      <c r="EH3" s="52"/>
      <c r="HC3" s="71"/>
    </row>
    <row r="4" spans="1:212" customHeight="1" ht="19.15" hidden="true" s="2" customFormat="1">
      <c r="A4" s="14" t="s">
        <v>4</v>
      </c>
      <c r="B4" s="80"/>
      <c r="C4" s="15"/>
      <c r="D4" s="16" t="s">
        <v>2</v>
      </c>
      <c r="E4" s="17"/>
      <c r="F4" s="20"/>
      <c r="G4" s="21"/>
      <c r="H4" s="21"/>
      <c r="I4" s="21"/>
      <c r="J4" s="17"/>
      <c r="K4" s="17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54"/>
      <c r="DD4" s="54"/>
      <c r="DE4" s="54"/>
      <c r="DF4" s="54"/>
      <c r="DG4" s="54"/>
      <c r="DH4" s="54"/>
      <c r="DI4" s="54"/>
      <c r="DJ4" s="54"/>
      <c r="DK4" s="54"/>
      <c r="DL4" s="54"/>
      <c r="DM4" s="54"/>
      <c r="DN4" s="54"/>
      <c r="DO4" s="54"/>
      <c r="DP4" s="54"/>
      <c r="DQ4" s="54"/>
      <c r="DR4" s="54"/>
      <c r="DS4" s="54"/>
      <c r="DT4" s="54"/>
      <c r="DU4" s="54"/>
      <c r="DV4" s="54"/>
      <c r="DW4" s="54"/>
      <c r="DX4" s="54"/>
      <c r="DY4" s="54"/>
      <c r="DZ4" s="54"/>
      <c r="EA4" s="54"/>
      <c r="EB4" s="54"/>
      <c r="EC4" s="54"/>
      <c r="ED4" s="54"/>
      <c r="EE4" s="54"/>
      <c r="EF4" s="54"/>
      <c r="EG4" s="54"/>
      <c r="EH4" s="54"/>
      <c r="HC4" s="71"/>
    </row>
    <row r="5" spans="1:212" customHeight="1" ht="19.15" hidden="true" s="2" customFormat="1">
      <c r="A5" s="14" t="s">
        <v>5</v>
      </c>
      <c r="B5" s="80"/>
      <c r="C5" s="15"/>
      <c r="D5" s="16" t="s">
        <v>6</v>
      </c>
      <c r="E5" s="17"/>
      <c r="F5" s="20"/>
      <c r="G5" s="17"/>
      <c r="H5" s="17"/>
      <c r="I5" s="17"/>
      <c r="J5" s="17"/>
      <c r="K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HC5" s="71"/>
    </row>
    <row r="6" spans="1:212" customHeight="1" ht="19.15" hidden="true" s="2" customFormat="1">
      <c r="A6" s="22" t="s">
        <v>7</v>
      </c>
      <c r="B6" s="81"/>
      <c r="C6" s="23"/>
      <c r="D6" s="24" t="s">
        <v>2</v>
      </c>
      <c r="E6" s="25"/>
      <c r="F6" s="20"/>
      <c r="G6" s="17"/>
      <c r="H6" s="17"/>
      <c r="I6" s="17"/>
      <c r="J6" s="17"/>
      <c r="K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7"/>
      <c r="BG6" s="17"/>
      <c r="BH6" s="17"/>
      <c r="BI6" s="17"/>
      <c r="BJ6" s="17"/>
      <c r="BK6" s="17"/>
      <c r="BL6" s="17"/>
      <c r="BM6" s="17"/>
      <c r="BN6" s="17"/>
      <c r="BO6" s="17"/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HC6" s="71"/>
    </row>
    <row r="7" spans="1:212" customHeight="1" ht="18" hidden="true" s="3" customFormat="1">
      <c r="A7" s="26"/>
      <c r="B7" s="82"/>
      <c r="C7" s="27"/>
      <c r="D7" s="108"/>
      <c r="E7" s="108"/>
      <c r="F7" s="108"/>
      <c r="U7" s="42"/>
      <c r="V7" s="42"/>
      <c r="W7" s="42"/>
      <c r="X7" s="42"/>
      <c r="Y7" s="42"/>
      <c r="CO7" s="3">
        <v>89</v>
      </c>
      <c r="CP7" s="3">
        <v>90</v>
      </c>
      <c r="CQ7" s="3">
        <v>91</v>
      </c>
      <c r="CX7" s="3">
        <v>95</v>
      </c>
      <c r="CZ7" s="3">
        <v>97</v>
      </c>
      <c r="DA7" s="3">
        <v>98</v>
      </c>
      <c r="DB7" s="3">
        <v>99</v>
      </c>
      <c r="DC7" s="3">
        <v>100</v>
      </c>
      <c r="DD7" s="3">
        <v>101</v>
      </c>
      <c r="DE7" s="3">
        <v>102</v>
      </c>
      <c r="DF7" s="3">
        <v>103</v>
      </c>
      <c r="DG7" s="3">
        <v>104</v>
      </c>
      <c r="DH7" s="3">
        <v>105</v>
      </c>
      <c r="DI7" s="3">
        <v>106</v>
      </c>
      <c r="DJ7" s="3">
        <v>107</v>
      </c>
      <c r="DK7" s="3">
        <v>108</v>
      </c>
      <c r="DL7" s="3">
        <v>109</v>
      </c>
      <c r="DM7" s="3">
        <v>110</v>
      </c>
      <c r="DN7" s="3">
        <v>111</v>
      </c>
      <c r="DO7" s="3">
        <v>112</v>
      </c>
      <c r="DP7" s="3">
        <v>113</v>
      </c>
      <c r="DR7" s="3">
        <v>114</v>
      </c>
      <c r="DS7" s="3">
        <v>115</v>
      </c>
      <c r="DT7" s="3">
        <v>116</v>
      </c>
      <c r="DU7" s="3">
        <v>117</v>
      </c>
      <c r="DV7" s="3">
        <v>118</v>
      </c>
      <c r="DW7" s="3">
        <v>119</v>
      </c>
      <c r="DX7" s="3">
        <v>120</v>
      </c>
      <c r="DY7" s="3">
        <v>121</v>
      </c>
      <c r="DZ7" s="3">
        <v>122</v>
      </c>
      <c r="EA7" s="3">
        <v>123</v>
      </c>
      <c r="EB7" s="3">
        <v>124</v>
      </c>
      <c r="EC7" s="3">
        <v>125</v>
      </c>
      <c r="EF7" s="3">
        <v>127</v>
      </c>
      <c r="EG7" s="3">
        <v>128</v>
      </c>
      <c r="EH7" s="3">
        <v>129</v>
      </c>
      <c r="HC7" s="72"/>
    </row>
    <row r="8" spans="1:212" customHeight="1" ht="120.75">
      <c r="A8" s="98" t="s">
        <v>8</v>
      </c>
      <c r="B8" s="83"/>
      <c r="C8" s="98" t="s">
        <v>9</v>
      </c>
      <c r="D8" s="98"/>
      <c r="E8" s="99" t="s">
        <v>10</v>
      </c>
      <c r="F8" s="100" t="s">
        <v>11</v>
      </c>
      <c r="G8" s="29" t="s">
        <v>12</v>
      </c>
      <c r="H8" s="29" t="s">
        <v>13</v>
      </c>
      <c r="I8" s="29" t="s">
        <v>14</v>
      </c>
      <c r="J8" s="29" t="s">
        <v>15</v>
      </c>
      <c r="K8" s="29" t="s">
        <v>16</v>
      </c>
      <c r="L8" s="29" t="s">
        <v>13</v>
      </c>
      <c r="M8" s="29" t="s">
        <v>17</v>
      </c>
      <c r="N8" s="29" t="s">
        <v>18</v>
      </c>
      <c r="O8" s="29" t="s">
        <v>19</v>
      </c>
      <c r="P8" s="29" t="s">
        <v>20</v>
      </c>
      <c r="Q8" s="29" t="s">
        <v>21</v>
      </c>
      <c r="R8" s="29" t="s">
        <v>22</v>
      </c>
      <c r="S8" s="29" t="s">
        <v>23</v>
      </c>
      <c r="T8" s="29" t="s">
        <v>24</v>
      </c>
      <c r="U8" s="29" t="s">
        <v>25</v>
      </c>
      <c r="V8" s="29" t="s">
        <v>26</v>
      </c>
      <c r="W8" s="29" t="s">
        <v>27</v>
      </c>
      <c r="X8" s="29" t="s">
        <v>28</v>
      </c>
      <c r="Y8" s="29" t="s">
        <v>29</v>
      </c>
      <c r="Z8" s="29" t="s">
        <v>30</v>
      </c>
      <c r="AA8" s="29" t="s">
        <v>31</v>
      </c>
      <c r="AB8" s="29" t="s">
        <v>32</v>
      </c>
      <c r="AC8" s="29" t="s">
        <v>33</v>
      </c>
      <c r="AD8" s="29" t="s">
        <v>34</v>
      </c>
      <c r="AE8" s="29" t="s">
        <v>35</v>
      </c>
      <c r="AF8" s="29" t="s">
        <v>36</v>
      </c>
      <c r="AG8" s="29" t="s">
        <v>37</v>
      </c>
      <c r="AH8" s="29" t="s">
        <v>38</v>
      </c>
      <c r="AI8" s="29" t="s">
        <v>39</v>
      </c>
      <c r="AJ8" s="29" t="s">
        <v>40</v>
      </c>
      <c r="AK8" s="29" t="s">
        <v>41</v>
      </c>
      <c r="AL8" s="29" t="s">
        <v>42</v>
      </c>
      <c r="AM8" s="29" t="s">
        <v>43</v>
      </c>
      <c r="AN8" s="29" t="s">
        <v>44</v>
      </c>
      <c r="AO8" s="29" t="s">
        <v>45</v>
      </c>
      <c r="AP8" s="29" t="s">
        <v>46</v>
      </c>
      <c r="AQ8" s="29" t="s">
        <v>47</v>
      </c>
      <c r="AR8" s="29" t="s">
        <v>48</v>
      </c>
      <c r="AS8" s="29" t="s">
        <v>49</v>
      </c>
      <c r="AT8" s="29" t="s">
        <v>50</v>
      </c>
      <c r="AU8" s="29" t="s">
        <v>51</v>
      </c>
      <c r="AV8" s="29" t="s">
        <v>52</v>
      </c>
      <c r="AW8" s="29" t="s">
        <v>53</v>
      </c>
      <c r="AX8" s="29" t="s">
        <v>54</v>
      </c>
      <c r="AY8" s="29" t="s">
        <v>55</v>
      </c>
      <c r="AZ8" s="29" t="s">
        <v>56</v>
      </c>
      <c r="BA8" s="29" t="s">
        <v>57</v>
      </c>
      <c r="BB8" s="29" t="s">
        <v>58</v>
      </c>
      <c r="BC8" s="29" t="s">
        <v>59</v>
      </c>
      <c r="BD8" s="29" t="s">
        <v>60</v>
      </c>
      <c r="BE8" s="29" t="s">
        <v>61</v>
      </c>
      <c r="BF8" s="29" t="s">
        <v>62</v>
      </c>
      <c r="BG8" s="29" t="s">
        <v>63</v>
      </c>
      <c r="BH8" s="29" t="s">
        <v>64</v>
      </c>
      <c r="BI8" s="29" t="s">
        <v>65</v>
      </c>
      <c r="BJ8" s="29" t="s">
        <v>66</v>
      </c>
      <c r="BK8" s="29" t="s">
        <v>67</v>
      </c>
      <c r="BL8" s="29" t="s">
        <v>68</v>
      </c>
      <c r="BM8" s="29" t="s">
        <v>69</v>
      </c>
      <c r="BN8" s="29" t="s">
        <v>70</v>
      </c>
      <c r="BO8" s="29" t="s">
        <v>71</v>
      </c>
      <c r="BP8" s="29" t="s">
        <v>72</v>
      </c>
      <c r="BQ8" s="29" t="s">
        <v>73</v>
      </c>
      <c r="BR8" s="29" t="s">
        <v>74</v>
      </c>
      <c r="BS8" s="29" t="s">
        <v>75</v>
      </c>
      <c r="BT8" s="29" t="s">
        <v>76</v>
      </c>
      <c r="BU8" s="29" t="s">
        <v>77</v>
      </c>
      <c r="BV8" s="29" t="s">
        <v>78</v>
      </c>
      <c r="BW8" s="29" t="s">
        <v>79</v>
      </c>
      <c r="BX8" s="29" t="s">
        <v>80</v>
      </c>
      <c r="BY8" s="29" t="s">
        <v>81</v>
      </c>
      <c r="BZ8" s="29" t="s">
        <v>82</v>
      </c>
      <c r="CA8" s="29" t="s">
        <v>83</v>
      </c>
      <c r="CB8" s="29" t="s">
        <v>84</v>
      </c>
      <c r="CC8" s="29" t="s">
        <v>85</v>
      </c>
      <c r="CD8" s="29" t="s">
        <v>86</v>
      </c>
      <c r="CE8" s="29" t="s">
        <v>87</v>
      </c>
      <c r="CF8" s="29" t="s">
        <v>88</v>
      </c>
      <c r="CG8" s="29" t="s">
        <v>89</v>
      </c>
      <c r="CH8" s="29" t="s">
        <v>90</v>
      </c>
      <c r="CI8" s="29" t="s">
        <v>91</v>
      </c>
      <c r="CJ8" s="29" t="s">
        <v>92</v>
      </c>
      <c r="CK8" s="29" t="s">
        <v>93</v>
      </c>
      <c r="CL8" s="29" t="s">
        <v>94</v>
      </c>
      <c r="CM8" s="29" t="s">
        <v>95</v>
      </c>
      <c r="CN8" s="29" t="s">
        <v>96</v>
      </c>
      <c r="CO8" s="29" t="s">
        <v>97</v>
      </c>
      <c r="CP8" s="29" t="s">
        <v>98</v>
      </c>
      <c r="CQ8" s="29" t="s">
        <v>99</v>
      </c>
      <c r="CR8" s="29" t="s">
        <v>100</v>
      </c>
      <c r="CS8" s="29" t="s">
        <v>101</v>
      </c>
      <c r="CT8" s="29" t="s">
        <v>102</v>
      </c>
      <c r="CU8" s="29" t="s">
        <v>103</v>
      </c>
      <c r="CV8" s="48" t="s">
        <v>104</v>
      </c>
      <c r="CW8" s="49" t="s">
        <v>105</v>
      </c>
      <c r="CX8" s="49" t="s">
        <v>106</v>
      </c>
      <c r="CY8" s="49" t="s">
        <v>107</v>
      </c>
      <c r="CZ8" s="49" t="s">
        <v>108</v>
      </c>
      <c r="DA8" s="49" t="s">
        <v>109</v>
      </c>
      <c r="DB8" s="49" t="s">
        <v>110</v>
      </c>
      <c r="DC8" s="49" t="s">
        <v>111</v>
      </c>
      <c r="DD8" s="49" t="s">
        <v>112</v>
      </c>
      <c r="DE8" s="49" t="s">
        <v>113</v>
      </c>
      <c r="DF8" s="49" t="s">
        <v>114</v>
      </c>
      <c r="DG8" s="49" t="s">
        <v>115</v>
      </c>
      <c r="DH8" s="49" t="s">
        <v>116</v>
      </c>
      <c r="DI8" s="49" t="s">
        <v>117</v>
      </c>
      <c r="DJ8" s="49" t="s">
        <v>118</v>
      </c>
      <c r="DK8" s="49" t="s">
        <v>119</v>
      </c>
      <c r="DL8" s="49" t="s">
        <v>120</v>
      </c>
      <c r="DM8" s="49" t="s">
        <v>121</v>
      </c>
      <c r="DN8" s="49" t="s">
        <v>122</v>
      </c>
      <c r="DO8" s="49" t="s">
        <v>123</v>
      </c>
      <c r="DP8" s="49" t="s">
        <v>124</v>
      </c>
      <c r="DQ8" s="49" t="s">
        <v>125</v>
      </c>
      <c r="DR8" s="49" t="s">
        <v>126</v>
      </c>
      <c r="DS8" s="49" t="s">
        <v>127</v>
      </c>
      <c r="DT8" s="49" t="s">
        <v>128</v>
      </c>
      <c r="DU8" s="49" t="s">
        <v>129</v>
      </c>
      <c r="DV8" s="49" t="s">
        <v>130</v>
      </c>
      <c r="DW8" s="49" t="s">
        <v>131</v>
      </c>
      <c r="DX8" s="49" t="s">
        <v>132</v>
      </c>
      <c r="DY8" s="49" t="s">
        <v>133</v>
      </c>
      <c r="DZ8" s="49" t="s">
        <v>134</v>
      </c>
      <c r="EA8" s="49" t="s">
        <v>135</v>
      </c>
      <c r="EB8" s="49" t="s">
        <v>136</v>
      </c>
      <c r="EC8" s="49" t="s">
        <v>137</v>
      </c>
      <c r="ED8" s="49" t="s">
        <v>138</v>
      </c>
      <c r="EE8" s="49" t="s">
        <v>139</v>
      </c>
      <c r="EF8" s="49" t="s">
        <v>140</v>
      </c>
      <c r="EG8" s="49" t="s">
        <v>141</v>
      </c>
      <c r="EH8" s="49" t="s">
        <v>142</v>
      </c>
      <c r="EI8" s="49" t="s">
        <v>143</v>
      </c>
      <c r="EJ8" s="49" t="s">
        <v>144</v>
      </c>
      <c r="EK8" s="49" t="s">
        <v>145</v>
      </c>
      <c r="EL8" s="49" t="s">
        <v>146</v>
      </c>
      <c r="EM8" s="49" t="s">
        <v>147</v>
      </c>
      <c r="EN8" s="49" t="s">
        <v>148</v>
      </c>
      <c r="EO8" s="49" t="s">
        <v>149</v>
      </c>
      <c r="EP8" s="49" t="s">
        <v>150</v>
      </c>
      <c r="EQ8" s="49" t="s">
        <v>151</v>
      </c>
      <c r="ER8" s="49" t="s">
        <v>152</v>
      </c>
      <c r="ES8" s="49" t="s">
        <v>153</v>
      </c>
      <c r="ET8" s="49" t="s">
        <v>154</v>
      </c>
      <c r="EU8" s="49" t="s">
        <v>155</v>
      </c>
      <c r="EV8" s="49" t="s">
        <v>156</v>
      </c>
      <c r="EW8" s="49" t="s">
        <v>157</v>
      </c>
      <c r="EX8" s="49" t="s">
        <v>158</v>
      </c>
      <c r="EY8" s="49" t="s">
        <v>159</v>
      </c>
      <c r="EZ8" s="49" t="s">
        <v>160</v>
      </c>
      <c r="FA8" s="49" t="s">
        <v>161</v>
      </c>
      <c r="FB8" s="49" t="s">
        <v>162</v>
      </c>
      <c r="FC8" s="49" t="s">
        <v>163</v>
      </c>
      <c r="FD8" s="49" t="s">
        <v>164</v>
      </c>
      <c r="FE8" s="49" t="s">
        <v>165</v>
      </c>
      <c r="FF8" s="49" t="s">
        <v>166</v>
      </c>
      <c r="FG8" s="49" t="s">
        <v>167</v>
      </c>
      <c r="FH8" s="49" t="s">
        <v>168</v>
      </c>
      <c r="FI8" s="49" t="s">
        <v>169</v>
      </c>
      <c r="FJ8" s="49" t="s">
        <v>170</v>
      </c>
      <c r="FK8" s="49" t="s">
        <v>171</v>
      </c>
      <c r="FL8" s="49" t="s">
        <v>172</v>
      </c>
      <c r="FM8" s="49" t="s">
        <v>173</v>
      </c>
      <c r="FN8" s="49" t="s">
        <v>174</v>
      </c>
      <c r="FO8" s="49" t="s">
        <v>175</v>
      </c>
      <c r="FP8" s="49" t="s">
        <v>176</v>
      </c>
      <c r="FQ8" s="49" t="s">
        <v>177</v>
      </c>
      <c r="FR8" s="49" t="s">
        <v>178</v>
      </c>
      <c r="FS8" s="49" t="s">
        <v>179</v>
      </c>
      <c r="FT8" s="49" t="s">
        <v>180</v>
      </c>
      <c r="FU8" s="49" t="s">
        <v>181</v>
      </c>
      <c r="FV8" s="49" t="s">
        <v>182</v>
      </c>
      <c r="FW8" s="49" t="s">
        <v>183</v>
      </c>
      <c r="FX8" s="49" t="s">
        <v>184</v>
      </c>
      <c r="FY8" s="49" t="s">
        <v>185</v>
      </c>
      <c r="FZ8" s="49" t="s">
        <v>186</v>
      </c>
      <c r="GA8" s="49" t="s">
        <v>187</v>
      </c>
      <c r="GB8" s="49" t="s">
        <v>188</v>
      </c>
      <c r="GC8" s="49" t="s">
        <v>189</v>
      </c>
      <c r="GD8" s="49" t="s">
        <v>190</v>
      </c>
      <c r="GE8" s="49" t="s">
        <v>191</v>
      </c>
      <c r="GF8" s="49" t="s">
        <v>192</v>
      </c>
      <c r="GG8" s="49" t="s">
        <v>193</v>
      </c>
      <c r="GH8" s="49" t="s">
        <v>194</v>
      </c>
      <c r="GI8" s="49" t="s">
        <v>195</v>
      </c>
      <c r="GJ8" s="49" t="s">
        <v>196</v>
      </c>
      <c r="GK8" s="49" t="s">
        <v>197</v>
      </c>
      <c r="GL8" s="49" t="s">
        <v>198</v>
      </c>
      <c r="GM8" s="49" t="s">
        <v>199</v>
      </c>
      <c r="GN8" s="49" t="s">
        <v>200</v>
      </c>
      <c r="GO8" s="49" t="s">
        <v>201</v>
      </c>
      <c r="GP8" s="49" t="s">
        <v>202</v>
      </c>
      <c r="GQ8" s="49" t="s">
        <v>203</v>
      </c>
      <c r="GR8" s="49" t="s">
        <v>204</v>
      </c>
      <c r="GS8" s="49" t="s">
        <v>205</v>
      </c>
      <c r="GT8" s="49" t="s">
        <v>206</v>
      </c>
      <c r="GU8" s="49" t="s">
        <v>207</v>
      </c>
      <c r="GV8" s="49" t="s">
        <v>208</v>
      </c>
      <c r="GW8" s="49" t="s">
        <v>209</v>
      </c>
      <c r="GX8" s="49" t="s">
        <v>210</v>
      </c>
      <c r="GY8" s="49" t="s">
        <v>17</v>
      </c>
      <c r="GZ8" s="49" t="s">
        <v>211</v>
      </c>
      <c r="HA8" s="49" t="s">
        <v>212</v>
      </c>
      <c r="HB8" s="49" t="s">
        <v>213</v>
      </c>
      <c r="HC8" s="73" t="s">
        <v>214</v>
      </c>
    </row>
    <row r="9" spans="1:212" customHeight="1" ht="18.75" hidden="true" s="3" customFormat="1">
      <c r="A9" s="98"/>
      <c r="B9" s="83"/>
      <c r="C9" s="28"/>
      <c r="D9" s="28"/>
      <c r="E9" s="99"/>
      <c r="F9" s="100"/>
      <c r="G9" s="28" t="s">
        <v>215</v>
      </c>
      <c r="H9" s="28" t="s">
        <v>216</v>
      </c>
      <c r="I9" s="28" t="s">
        <v>215</v>
      </c>
      <c r="J9" s="40" t="s">
        <v>217</v>
      </c>
      <c r="K9" s="40" t="s">
        <v>217</v>
      </c>
      <c r="L9" s="33" t="s">
        <v>216</v>
      </c>
      <c r="M9" s="33" t="s">
        <v>216</v>
      </c>
      <c r="N9" s="40" t="s">
        <v>217</v>
      </c>
      <c r="O9" s="40" t="s">
        <v>217</v>
      </c>
      <c r="P9" s="40" t="s">
        <v>217</v>
      </c>
      <c r="Q9" s="40" t="s">
        <v>217</v>
      </c>
      <c r="R9" s="40"/>
      <c r="S9" s="28" t="s">
        <v>217</v>
      </c>
      <c r="T9" s="28" t="s">
        <v>217</v>
      </c>
      <c r="U9" s="43" t="s">
        <v>217</v>
      </c>
      <c r="V9" s="43" t="s">
        <v>217</v>
      </c>
      <c r="W9" s="43" t="s">
        <v>217</v>
      </c>
      <c r="X9" s="43" t="s">
        <v>217</v>
      </c>
      <c r="Y9" s="43" t="s">
        <v>216</v>
      </c>
      <c r="Z9" s="28" t="s">
        <v>216</v>
      </c>
      <c r="AA9" s="28" t="s">
        <v>216</v>
      </c>
      <c r="AB9" s="28" t="s">
        <v>216</v>
      </c>
      <c r="AC9" s="28" t="s">
        <v>216</v>
      </c>
      <c r="AD9" s="28" t="s">
        <v>215</v>
      </c>
      <c r="AE9" s="28" t="s">
        <v>216</v>
      </c>
      <c r="AF9" s="28" t="s">
        <v>215</v>
      </c>
      <c r="AG9" s="28" t="s">
        <v>217</v>
      </c>
      <c r="AH9" s="28" t="s">
        <v>217</v>
      </c>
      <c r="AI9" s="28" t="s">
        <v>217</v>
      </c>
      <c r="AJ9" s="28" t="s">
        <v>217</v>
      </c>
      <c r="AK9" s="28" t="s">
        <v>217</v>
      </c>
      <c r="AL9" s="28" t="s">
        <v>217</v>
      </c>
      <c r="AM9" s="28" t="s">
        <v>217</v>
      </c>
      <c r="AN9" s="28" t="s">
        <v>217</v>
      </c>
      <c r="AO9" s="28" t="s">
        <v>217</v>
      </c>
      <c r="AP9" s="28" t="s">
        <v>217</v>
      </c>
      <c r="AQ9" s="28" t="s">
        <v>217</v>
      </c>
      <c r="AR9" s="28" t="s">
        <v>217</v>
      </c>
      <c r="AS9" s="28" t="s">
        <v>217</v>
      </c>
      <c r="AT9" s="28" t="s">
        <v>217</v>
      </c>
      <c r="AU9" s="28" t="s">
        <v>217</v>
      </c>
      <c r="AV9" s="28" t="s">
        <v>216</v>
      </c>
      <c r="AW9" s="28" t="s">
        <v>216</v>
      </c>
      <c r="AX9" s="28" t="s">
        <v>216</v>
      </c>
      <c r="AY9" s="28" t="s">
        <v>216</v>
      </c>
      <c r="AZ9" s="28" t="s">
        <v>216</v>
      </c>
      <c r="BA9" s="28" t="s">
        <v>216</v>
      </c>
      <c r="BB9" s="28" t="s">
        <v>216</v>
      </c>
      <c r="BC9" s="28" t="s">
        <v>216</v>
      </c>
      <c r="BD9" s="28" t="s">
        <v>216</v>
      </c>
      <c r="BE9" s="28" t="s">
        <v>216</v>
      </c>
      <c r="BF9" s="28" t="s">
        <v>216</v>
      </c>
      <c r="BG9" s="28" t="s">
        <v>216</v>
      </c>
      <c r="BH9" s="28" t="s">
        <v>216</v>
      </c>
      <c r="BI9" s="28" t="s">
        <v>216</v>
      </c>
      <c r="BJ9" s="28" t="s">
        <v>216</v>
      </c>
      <c r="BK9" s="28" t="s">
        <v>216</v>
      </c>
      <c r="BL9" s="28" t="s">
        <v>218</v>
      </c>
      <c r="BM9" s="28" t="s">
        <v>218</v>
      </c>
      <c r="BN9" s="28" t="s">
        <v>216</v>
      </c>
      <c r="BO9" s="46" t="s">
        <v>216</v>
      </c>
      <c r="BP9" s="28" t="s">
        <v>216</v>
      </c>
      <c r="BQ9" s="28" t="s">
        <v>216</v>
      </c>
      <c r="BR9" s="28" t="s">
        <v>216</v>
      </c>
      <c r="BS9" s="28" t="s">
        <v>216</v>
      </c>
      <c r="BT9" s="28" t="s">
        <v>216</v>
      </c>
      <c r="BU9" s="28" t="s">
        <v>216</v>
      </c>
      <c r="BV9" s="28" t="s">
        <v>216</v>
      </c>
      <c r="BW9" s="28" t="s">
        <v>216</v>
      </c>
      <c r="BX9" s="28" t="s">
        <v>216</v>
      </c>
      <c r="BY9" s="28" t="s">
        <v>216</v>
      </c>
      <c r="BZ9" s="28" t="s">
        <v>216</v>
      </c>
      <c r="CA9" s="28" t="s">
        <v>216</v>
      </c>
      <c r="CB9" s="28" t="s">
        <v>216</v>
      </c>
      <c r="CC9" s="28" t="s">
        <v>216</v>
      </c>
      <c r="CD9" s="28" t="s">
        <v>216</v>
      </c>
      <c r="CE9" s="28" t="s">
        <v>216</v>
      </c>
      <c r="CF9" s="28" t="s">
        <v>216</v>
      </c>
      <c r="CG9" s="28" t="s">
        <v>216</v>
      </c>
      <c r="CH9" s="28" t="s">
        <v>216</v>
      </c>
      <c r="CI9" s="28" t="s">
        <v>216</v>
      </c>
      <c r="CJ9" s="28" t="s">
        <v>219</v>
      </c>
      <c r="CK9" s="28" t="s">
        <v>216</v>
      </c>
      <c r="CL9" s="28" t="s">
        <v>216</v>
      </c>
      <c r="CM9" s="28" t="s">
        <v>220</v>
      </c>
      <c r="CN9" s="28" t="s">
        <v>216</v>
      </c>
      <c r="CO9" s="28" t="s">
        <v>216</v>
      </c>
      <c r="CP9" s="28" t="s">
        <v>216</v>
      </c>
      <c r="CQ9" s="28" t="s">
        <v>221</v>
      </c>
      <c r="CR9" s="28" t="s">
        <v>216</v>
      </c>
      <c r="CS9" s="28" t="s">
        <v>216</v>
      </c>
      <c r="CT9" s="28" t="s">
        <v>216</v>
      </c>
      <c r="CU9" s="28" t="s">
        <v>216</v>
      </c>
      <c r="CV9" s="50" t="s">
        <v>216</v>
      </c>
      <c r="CW9" s="33" t="s">
        <v>216</v>
      </c>
      <c r="CX9" s="33" t="s">
        <v>216</v>
      </c>
      <c r="CY9" s="33" t="s">
        <v>216</v>
      </c>
      <c r="CZ9" s="33" t="s">
        <v>217</v>
      </c>
      <c r="DA9" s="33" t="s">
        <v>217</v>
      </c>
      <c r="DB9" s="33" t="s">
        <v>217</v>
      </c>
      <c r="DC9" s="33" t="s">
        <v>217</v>
      </c>
      <c r="DD9" s="33" t="s">
        <v>217</v>
      </c>
      <c r="DE9" s="33" t="s">
        <v>217</v>
      </c>
      <c r="DF9" s="33" t="s">
        <v>217</v>
      </c>
      <c r="DG9" s="33" t="s">
        <v>217</v>
      </c>
      <c r="DH9" s="33" t="s">
        <v>217</v>
      </c>
      <c r="DI9" s="33" t="s">
        <v>217</v>
      </c>
      <c r="DJ9" s="33" t="s">
        <v>217</v>
      </c>
      <c r="DK9" s="33" t="s">
        <v>217</v>
      </c>
      <c r="DL9" s="33" t="s">
        <v>217</v>
      </c>
      <c r="DM9" s="33" t="s">
        <v>217</v>
      </c>
      <c r="DN9" s="33" t="s">
        <v>217</v>
      </c>
      <c r="DO9" s="33" t="s">
        <v>217</v>
      </c>
      <c r="DP9" s="33" t="s">
        <v>217</v>
      </c>
      <c r="DQ9" s="33" t="s">
        <v>217</v>
      </c>
      <c r="DR9" s="33" t="s">
        <v>217</v>
      </c>
      <c r="DS9" s="33" t="s">
        <v>217</v>
      </c>
      <c r="DT9" s="33" t="s">
        <v>217</v>
      </c>
      <c r="DU9" s="33" t="s">
        <v>222</v>
      </c>
      <c r="DV9" s="33" t="s">
        <v>222</v>
      </c>
      <c r="DW9" s="33" t="s">
        <v>222</v>
      </c>
      <c r="DX9" s="33" t="s">
        <v>217</v>
      </c>
      <c r="DY9" s="33" t="s">
        <v>217</v>
      </c>
      <c r="DZ9" s="33" t="s">
        <v>217</v>
      </c>
      <c r="EA9" s="33" t="s">
        <v>217</v>
      </c>
      <c r="EB9" s="33" t="s">
        <v>217</v>
      </c>
      <c r="EC9" s="33" t="s">
        <v>217</v>
      </c>
      <c r="ED9" s="33" t="s">
        <v>217</v>
      </c>
      <c r="EE9" s="33" t="s">
        <v>217</v>
      </c>
      <c r="EF9" s="33" t="s">
        <v>217</v>
      </c>
      <c r="EG9" s="33" t="s">
        <v>217</v>
      </c>
      <c r="EH9" s="33" t="s">
        <v>217</v>
      </c>
      <c r="EI9" s="33" t="s">
        <v>217</v>
      </c>
      <c r="EJ9" s="33" t="s">
        <v>217</v>
      </c>
      <c r="EK9" s="33" t="s">
        <v>217</v>
      </c>
      <c r="EL9" s="33" t="s">
        <v>217</v>
      </c>
      <c r="EM9" s="33" t="s">
        <v>217</v>
      </c>
      <c r="EN9" s="33" t="s">
        <v>217</v>
      </c>
      <c r="EO9" s="33" t="s">
        <v>217</v>
      </c>
      <c r="EP9" s="33" t="s">
        <v>217</v>
      </c>
      <c r="EQ9" s="33" t="s">
        <v>217</v>
      </c>
      <c r="ER9" s="33" t="s">
        <v>217</v>
      </c>
      <c r="ES9" s="33" t="s">
        <v>217</v>
      </c>
      <c r="ET9" s="33" t="s">
        <v>217</v>
      </c>
      <c r="EU9" s="33" t="s">
        <v>223</v>
      </c>
      <c r="EV9" s="33" t="s">
        <v>217</v>
      </c>
      <c r="EW9" s="33" t="s">
        <v>217</v>
      </c>
      <c r="EX9" s="33" t="s">
        <v>217</v>
      </c>
      <c r="EY9" s="33" t="s">
        <v>217</v>
      </c>
      <c r="EZ9" s="33" t="s">
        <v>217</v>
      </c>
      <c r="FA9" s="33" t="s">
        <v>217</v>
      </c>
      <c r="FB9" s="33" t="s">
        <v>217</v>
      </c>
      <c r="FC9" s="33" t="s">
        <v>217</v>
      </c>
      <c r="FD9" s="33" t="s">
        <v>217</v>
      </c>
      <c r="FE9" s="33" t="s">
        <v>217</v>
      </c>
      <c r="FF9" s="33" t="s">
        <v>224</v>
      </c>
      <c r="FG9" s="33" t="s">
        <v>216</v>
      </c>
      <c r="FH9" s="33" t="s">
        <v>216</v>
      </c>
      <c r="FI9" s="33" t="s">
        <v>216</v>
      </c>
      <c r="FJ9" s="33" t="s">
        <v>216</v>
      </c>
      <c r="FK9" s="33" t="s">
        <v>216</v>
      </c>
      <c r="FL9" s="33" t="s">
        <v>216</v>
      </c>
      <c r="FM9" s="33" t="s">
        <v>216</v>
      </c>
      <c r="FN9" s="33" t="s">
        <v>217</v>
      </c>
      <c r="FO9" s="33" t="s">
        <v>217</v>
      </c>
      <c r="FP9" s="33" t="s">
        <v>217</v>
      </c>
      <c r="FQ9" s="33" t="s">
        <v>217</v>
      </c>
      <c r="FR9" s="33" t="s">
        <v>217</v>
      </c>
      <c r="FS9" s="33" t="s">
        <v>217</v>
      </c>
      <c r="FT9" s="33" t="s">
        <v>217</v>
      </c>
      <c r="FU9" s="33" t="s">
        <v>217</v>
      </c>
      <c r="FV9" s="33" t="s">
        <v>217</v>
      </c>
      <c r="FW9" s="33" t="s">
        <v>217</v>
      </c>
      <c r="FX9" s="33" t="s">
        <v>217</v>
      </c>
      <c r="FY9" s="33" t="s">
        <v>217</v>
      </c>
      <c r="FZ9" s="33" t="s">
        <v>217</v>
      </c>
      <c r="GA9" s="33" t="s">
        <v>217</v>
      </c>
      <c r="GB9" s="33" t="s">
        <v>217</v>
      </c>
      <c r="GC9" s="33" t="s">
        <v>217</v>
      </c>
      <c r="GD9" s="33" t="s">
        <v>217</v>
      </c>
      <c r="GE9" s="33" t="s">
        <v>217</v>
      </c>
      <c r="GF9" s="33" t="s">
        <v>217</v>
      </c>
      <c r="GG9" s="33" t="s">
        <v>217</v>
      </c>
      <c r="GH9" s="33" t="s">
        <v>217</v>
      </c>
      <c r="GI9" s="33" t="s">
        <v>217</v>
      </c>
      <c r="GJ9" s="33" t="s">
        <v>217</v>
      </c>
      <c r="GK9" s="33" t="s">
        <v>217</v>
      </c>
      <c r="GL9" s="33" t="s">
        <v>217</v>
      </c>
      <c r="GM9" s="33" t="s">
        <v>217</v>
      </c>
      <c r="GN9" s="33" t="s">
        <v>217</v>
      </c>
      <c r="GO9" s="33" t="s">
        <v>217</v>
      </c>
      <c r="GP9" s="33" t="s">
        <v>217</v>
      </c>
      <c r="GQ9" s="33" t="s">
        <v>217</v>
      </c>
      <c r="GR9" s="33" t="s">
        <v>216</v>
      </c>
      <c r="GS9" s="33" t="s">
        <v>216</v>
      </c>
      <c r="GT9" s="33" t="s">
        <v>216</v>
      </c>
      <c r="GU9" s="33"/>
      <c r="GV9" s="33" t="s">
        <v>216</v>
      </c>
      <c r="GW9" s="33" t="s">
        <v>216</v>
      </c>
      <c r="GX9" s="33" t="s">
        <v>216</v>
      </c>
      <c r="GY9" s="33" t="s">
        <v>216</v>
      </c>
      <c r="GZ9" s="33" t="s">
        <v>216</v>
      </c>
      <c r="HA9" s="33" t="s">
        <v>215</v>
      </c>
      <c r="HB9" s="56" t="s">
        <v>215</v>
      </c>
      <c r="HC9" s="72"/>
    </row>
    <row r="10" spans="1:212" customHeight="1" ht="18.75" hidden="true" s="3" customFormat="1">
      <c r="A10" s="30"/>
      <c r="B10" s="31"/>
      <c r="C10" s="30"/>
      <c r="D10" s="30"/>
      <c r="E10" s="31"/>
      <c r="F10" s="32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44"/>
      <c r="V10" s="44"/>
      <c r="W10" s="44"/>
      <c r="X10" s="44"/>
      <c r="Y10" s="44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3"/>
      <c r="BH10" s="33"/>
      <c r="BI10" s="33"/>
      <c r="BJ10" s="33"/>
      <c r="BK10" s="33"/>
      <c r="BL10" s="33"/>
      <c r="BM10" s="33"/>
      <c r="BN10" s="33"/>
      <c r="BO10" s="47"/>
      <c r="BP10" s="33"/>
      <c r="BQ10" s="33"/>
      <c r="BR10" s="33"/>
      <c r="BS10" s="33"/>
      <c r="BT10" s="33"/>
      <c r="BU10" s="33"/>
      <c r="BV10" s="33"/>
      <c r="BW10" s="33"/>
      <c r="BX10" s="33"/>
      <c r="BY10" s="33"/>
      <c r="BZ10" s="33"/>
      <c r="CA10" s="33"/>
      <c r="CB10" s="33"/>
      <c r="CC10" s="33"/>
      <c r="CD10" s="33"/>
      <c r="CE10" s="33"/>
      <c r="CF10" s="33"/>
      <c r="CG10" s="33"/>
      <c r="CH10" s="33"/>
      <c r="CI10" s="33"/>
      <c r="CJ10" s="33"/>
      <c r="CK10" s="33"/>
      <c r="CL10" s="33"/>
      <c r="CM10" s="33"/>
      <c r="CN10" s="33"/>
      <c r="CO10" s="33"/>
      <c r="CP10" s="33"/>
      <c r="CQ10" s="33"/>
      <c r="CR10" s="33"/>
      <c r="CS10" s="33"/>
      <c r="CT10" s="33"/>
      <c r="CU10" s="33"/>
      <c r="CV10" s="50"/>
      <c r="CW10" s="33"/>
      <c r="CX10" s="33"/>
      <c r="CY10" s="33"/>
      <c r="CZ10" s="33"/>
      <c r="DA10" s="33"/>
      <c r="DB10" s="33"/>
      <c r="DC10" s="33"/>
      <c r="DD10" s="33"/>
      <c r="DE10" s="33"/>
      <c r="DF10" s="33"/>
      <c r="DG10" s="33"/>
      <c r="DH10" s="33"/>
      <c r="DI10" s="33"/>
      <c r="DJ10" s="33"/>
      <c r="DK10" s="33"/>
      <c r="DL10" s="33"/>
      <c r="DM10" s="33"/>
      <c r="DN10" s="33"/>
      <c r="DO10" s="33"/>
      <c r="DP10" s="33"/>
      <c r="DQ10" s="33"/>
      <c r="DR10" s="33"/>
      <c r="DS10" s="33"/>
      <c r="DT10" s="33"/>
      <c r="DU10" s="33"/>
      <c r="DV10" s="33"/>
      <c r="DW10" s="33"/>
      <c r="DX10" s="33"/>
      <c r="DY10" s="33"/>
      <c r="DZ10" s="33"/>
      <c r="EA10" s="33"/>
      <c r="EB10" s="33"/>
      <c r="EC10" s="33"/>
      <c r="ED10" s="33"/>
      <c r="EE10" s="33"/>
      <c r="EF10" s="33"/>
      <c r="EG10" s="33"/>
      <c r="EH10" s="33"/>
      <c r="EI10" s="33"/>
      <c r="EJ10" s="33"/>
      <c r="EK10" s="33"/>
      <c r="EL10" s="33"/>
      <c r="EM10" s="33"/>
      <c r="EN10" s="33"/>
      <c r="EO10" s="33"/>
      <c r="EP10" s="33"/>
      <c r="EQ10" s="33"/>
      <c r="ER10" s="33"/>
      <c r="ES10" s="33"/>
      <c r="ET10" s="33"/>
      <c r="EU10" s="33"/>
      <c r="EV10" s="33"/>
      <c r="EW10" s="33"/>
      <c r="EX10" s="33"/>
      <c r="EY10" s="33"/>
      <c r="EZ10" s="33"/>
      <c r="FA10" s="33"/>
      <c r="FB10" s="33"/>
      <c r="FC10" s="33"/>
      <c r="FD10" s="33"/>
      <c r="FE10" s="33"/>
      <c r="FF10" s="33"/>
      <c r="FG10" s="33"/>
      <c r="FH10" s="33"/>
      <c r="FI10" s="33"/>
      <c r="FJ10" s="33"/>
      <c r="FK10" s="33"/>
      <c r="FL10" s="33"/>
      <c r="FM10" s="33"/>
      <c r="FN10" s="33"/>
      <c r="FO10" s="33"/>
      <c r="FP10" s="33"/>
      <c r="FQ10" s="33"/>
      <c r="FR10" s="33"/>
      <c r="FS10" s="33"/>
      <c r="FT10" s="33"/>
      <c r="FU10" s="33"/>
      <c r="FV10" s="33"/>
      <c r="FW10" s="33"/>
      <c r="FX10" s="33"/>
      <c r="FY10" s="33"/>
      <c r="FZ10" s="33"/>
      <c r="GA10" s="33"/>
      <c r="GB10" s="33"/>
      <c r="GC10" s="33"/>
      <c r="GD10" s="33"/>
      <c r="GE10" s="33"/>
      <c r="GF10" s="33"/>
      <c r="GG10" s="33"/>
      <c r="GH10" s="33"/>
      <c r="GI10" s="33"/>
      <c r="GJ10" s="33"/>
      <c r="GK10" s="33"/>
      <c r="GL10" s="33"/>
      <c r="GM10" s="33"/>
      <c r="GN10" s="33"/>
      <c r="GO10" s="33"/>
      <c r="GP10" s="33"/>
      <c r="GQ10" s="33"/>
      <c r="GR10" s="33"/>
      <c r="GS10" s="33"/>
      <c r="GT10" s="33"/>
      <c r="GU10" s="33"/>
      <c r="GV10" s="33"/>
      <c r="GW10" s="33"/>
      <c r="GX10" s="33"/>
      <c r="GY10" s="33"/>
      <c r="GZ10" s="33"/>
      <c r="HA10" s="33"/>
      <c r="HB10" s="56"/>
      <c r="HC10" s="72"/>
    </row>
    <row r="11" spans="1:212" customHeight="1" ht="14.25" hidden="true">
      <c r="A11" s="86"/>
      <c r="B11" s="87"/>
      <c r="C11" s="35" t="s">
        <v>225</v>
      </c>
      <c r="D11" s="35" t="s">
        <v>226</v>
      </c>
      <c r="E11" s="34"/>
      <c r="F11" s="36"/>
      <c r="G11" s="34"/>
      <c r="H11" s="34"/>
      <c r="I11" s="34"/>
      <c r="J11" s="34"/>
      <c r="K11" s="34"/>
      <c r="L11" s="55"/>
      <c r="M11" s="55"/>
      <c r="N11" s="55"/>
      <c r="O11" s="34"/>
      <c r="P11" s="34"/>
      <c r="Q11" s="34"/>
      <c r="R11" s="34"/>
      <c r="S11" s="34"/>
      <c r="T11" s="34"/>
      <c r="U11" s="45"/>
      <c r="V11" s="45"/>
      <c r="W11" s="45"/>
      <c r="X11" s="45"/>
      <c r="Y11" s="45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4"/>
      <c r="AW11" s="34"/>
      <c r="AX11" s="34"/>
      <c r="AY11" s="34"/>
      <c r="AZ11" s="34"/>
      <c r="BA11" s="34"/>
      <c r="BB11" s="34"/>
      <c r="BC11" s="34"/>
      <c r="BD11" s="34"/>
      <c r="BE11" s="34"/>
      <c r="BF11" s="34"/>
      <c r="BG11" s="34"/>
      <c r="BH11" s="34"/>
      <c r="BI11" s="34"/>
      <c r="BJ11" s="34"/>
      <c r="BK11" s="34"/>
      <c r="BL11" s="34"/>
      <c r="BM11" s="34"/>
      <c r="BN11" s="34"/>
      <c r="BO11" s="34"/>
      <c r="BP11" s="34"/>
      <c r="BQ11" s="34"/>
      <c r="BR11" s="34"/>
      <c r="BS11" s="34"/>
      <c r="BT11" s="34"/>
      <c r="BU11" s="34"/>
      <c r="BV11" s="34"/>
      <c r="BW11" s="34"/>
      <c r="BX11" s="34"/>
      <c r="BY11" s="34"/>
      <c r="BZ11" s="34"/>
      <c r="CA11" s="34"/>
      <c r="CB11" s="34"/>
      <c r="CC11" s="34"/>
      <c r="CD11" s="34"/>
      <c r="CE11" s="34"/>
      <c r="CF11" s="34"/>
      <c r="CG11" s="34"/>
      <c r="CH11" s="34"/>
      <c r="CI11" s="34"/>
      <c r="CJ11" s="34"/>
      <c r="CK11" s="34"/>
      <c r="CL11" s="34"/>
      <c r="CM11" s="34"/>
      <c r="CN11" s="34"/>
      <c r="CO11" s="34"/>
      <c r="CP11" s="34"/>
      <c r="CQ11" s="34"/>
      <c r="CR11" s="34"/>
      <c r="CS11" s="34"/>
      <c r="CT11" s="34"/>
      <c r="CU11" s="34"/>
      <c r="CV11" s="51"/>
      <c r="CW11" s="34"/>
      <c r="CX11" s="34"/>
      <c r="CY11" s="34"/>
      <c r="CZ11" s="34"/>
      <c r="DA11" s="34"/>
      <c r="DB11" s="34"/>
      <c r="DC11" s="34"/>
      <c r="DD11" s="34"/>
      <c r="DE11" s="34"/>
      <c r="DF11" s="34"/>
      <c r="DG11" s="34"/>
      <c r="DH11" s="34"/>
      <c r="DI11" s="34"/>
      <c r="DJ11" s="34"/>
      <c r="DK11" s="34"/>
      <c r="DL11" s="34"/>
      <c r="DM11" s="34"/>
      <c r="DN11" s="34"/>
      <c r="DO11" s="34"/>
      <c r="DP11" s="34"/>
      <c r="DQ11" s="34"/>
      <c r="DR11" s="34"/>
      <c r="DS11" s="34"/>
      <c r="DT11" s="34"/>
      <c r="DU11" s="34"/>
      <c r="DV11" s="34"/>
      <c r="DW11" s="34"/>
      <c r="DX11" s="34"/>
      <c r="DY11" s="34"/>
      <c r="DZ11" s="34"/>
      <c r="EA11" s="55"/>
      <c r="EB11" s="55"/>
      <c r="EC11" s="55"/>
      <c r="ED11" s="55"/>
      <c r="EE11" s="55"/>
      <c r="EF11" s="55"/>
      <c r="EG11" s="55"/>
      <c r="EH11" s="55"/>
      <c r="EI11" s="55"/>
      <c r="EJ11" s="55"/>
      <c r="EK11" s="55"/>
      <c r="EL11" s="55"/>
      <c r="EM11" s="55"/>
      <c r="EN11" s="55"/>
      <c r="EO11" s="55"/>
      <c r="EP11" s="55"/>
      <c r="EQ11" s="55"/>
      <c r="ER11" s="55"/>
      <c r="ES11" s="55"/>
      <c r="ET11" s="55"/>
      <c r="EU11" s="55"/>
      <c r="EV11" s="55"/>
      <c r="EW11" s="55"/>
      <c r="EX11" s="55"/>
      <c r="EY11" s="55"/>
      <c r="EZ11" s="55"/>
      <c r="FA11" s="55"/>
      <c r="FB11" s="55"/>
      <c r="FC11" s="55"/>
      <c r="FD11" s="55"/>
      <c r="FE11" s="55"/>
      <c r="FF11" s="55"/>
      <c r="FG11" s="55"/>
      <c r="FH11" s="55"/>
      <c r="FI11" s="55"/>
      <c r="FJ11" s="55"/>
      <c r="FK11" s="55"/>
      <c r="FL11" s="55"/>
      <c r="FM11" s="55"/>
      <c r="FN11" s="55"/>
      <c r="FO11" s="55"/>
      <c r="FP11" s="55"/>
      <c r="FQ11" s="55"/>
      <c r="FR11" s="55"/>
      <c r="FS11" s="55"/>
      <c r="FT11" s="55"/>
      <c r="FU11" s="55"/>
      <c r="FV11" s="55"/>
      <c r="FW11" s="55"/>
      <c r="FX11" s="55"/>
      <c r="FY11" s="55"/>
      <c r="FZ11" s="55"/>
      <c r="GA11" s="55"/>
      <c r="GB11" s="55"/>
      <c r="GC11" s="55"/>
      <c r="GD11" s="55"/>
      <c r="GE11" s="55"/>
      <c r="GF11" s="55"/>
      <c r="GG11" s="55"/>
      <c r="GH11" s="55"/>
      <c r="GI11" s="55"/>
      <c r="GJ11" s="55"/>
      <c r="GK11" s="55"/>
      <c r="GL11" s="55"/>
      <c r="GM11" s="55"/>
      <c r="GN11" s="55"/>
      <c r="GO11" s="55"/>
      <c r="GP11" s="55"/>
      <c r="GQ11" s="55"/>
      <c r="GR11" s="55"/>
      <c r="GS11" s="55"/>
      <c r="GT11" s="55"/>
      <c r="GU11" s="55"/>
      <c r="GV11" s="55"/>
      <c r="GW11" s="55"/>
      <c r="GX11" s="55"/>
      <c r="GY11" s="55"/>
      <c r="GZ11" s="55"/>
      <c r="HA11" s="55"/>
      <c r="HB11" s="57"/>
    </row>
    <row r="12" spans="1:212" customHeight="1" ht="17.25" s="4" customFormat="1">
      <c r="A12" s="63"/>
      <c r="B12" s="31"/>
      <c r="C12" s="88"/>
      <c r="D12" s="88"/>
      <c r="E12" s="39"/>
      <c r="F12" s="96"/>
      <c r="G12" s="37">
        <f>IF($F12="SLACK-12CORE",$E12,0)</f>
        <v>0</v>
      </c>
      <c r="H12" s="37">
        <f>IF($F12="Slack Support HH",1,0)</f>
        <v>0</v>
      </c>
      <c r="I12" s="38">
        <f>IF($F12="SLACK-24CORE",$E12,0)</f>
        <v>0</v>
      </c>
      <c r="J12" s="38">
        <f>IF($F12="SLACK-48CORE",$E12,0)</f>
        <v>0</v>
      </c>
      <c r="K12" s="38">
        <f>IF($F12="SLACK-96CORE",$E12,0)</f>
        <v>0</v>
      </c>
      <c r="L12" s="38">
        <f>IF($F12="Slack Support HH",$E12,0)</f>
        <v>0</v>
      </c>
      <c r="M12" s="38">
        <f>IF($F12="HH-PIT-80",1,0)</f>
        <v>0</v>
      </c>
      <c r="N12" s="38">
        <f>IF($F12="AC-OF-SM-12D",$E12,0)</f>
        <v>0</v>
      </c>
      <c r="O12" s="38">
        <f>IF($F12="AC-OF-SM-24D",$E12,0)</f>
        <v>0</v>
      </c>
      <c r="P12" s="38">
        <f>IF($F12="AC-OF-SM-48D",$E12,0)</f>
        <v>0</v>
      </c>
      <c r="Q12" s="38">
        <f>IF($F12="AC-OF-SM-96D",$E12,0)</f>
        <v>0</v>
      </c>
      <c r="R12" s="38">
        <f>IF($F12="AC-OF-SM-ADSS-12D",$E12,0)</f>
        <v>0</v>
      </c>
      <c r="S12" s="38">
        <f>IF($F12="AC-OF-SM-12-SC",$E12,0)</f>
        <v>0</v>
      </c>
      <c r="T12" s="38">
        <f>IF($F12="AC-OF-SM-24-SC",$E12,0)</f>
        <v>0</v>
      </c>
      <c r="U12" s="38">
        <f>IF($F12="AC-OF-SM-48-SC",$E12,0)</f>
        <v>0</v>
      </c>
      <c r="V12" s="38">
        <f>IF($F12="AC-OF-SM-96-SC",$E12,0)</f>
        <v>0</v>
      </c>
      <c r="W12" s="38">
        <f>IF($F12="DC-OF-SM-144D",$E12,0)</f>
        <v>0</v>
      </c>
      <c r="X12" s="38">
        <f>IF($F12="DC-OF-SM-288D",$E12,0)</f>
        <v>0</v>
      </c>
      <c r="Y12" s="38">
        <f>IF($F12="AC-OF-SM-12-SC",$E12,0)</f>
        <v>0</v>
      </c>
      <c r="Z12" s="38">
        <f>IF($F12="SC-OF-SM-12",1,0)</f>
        <v>0</v>
      </c>
      <c r="AA12" s="38">
        <f>IF($F12="SC-OF-SM-12",1,0)</f>
        <v>0</v>
      </c>
      <c r="AB12" s="38">
        <f>IF($F12="SC-OF-SM-12",1,0)</f>
        <v>0</v>
      </c>
      <c r="AC12" s="38">
        <f>IF($F12="SC-OF-SM-12",1,0)</f>
        <v>0</v>
      </c>
      <c r="AD12" s="38">
        <f>IF($F12="SC-OF-SM-12",1,0)</f>
        <v>0</v>
      </c>
      <c r="AE12" s="38">
        <f>IF($F12="SC-OF-SM-24",1,0)</f>
        <v>0</v>
      </c>
      <c r="AF12" s="38">
        <f>IF($F12="OS-SM-1",$E12,0)</f>
        <v>0</v>
      </c>
      <c r="AG12" s="38">
        <f>IF($F12="OS-SM-1",$E12,0)</f>
        <v>0</v>
      </c>
      <c r="AH12" s="38">
        <f>IF($F12="OS-SM-1",$E12,0)</f>
        <v>0</v>
      </c>
      <c r="AI12" s="38">
        <f>IF($F12="OS-SM-1",$E12,0)</f>
        <v>0</v>
      </c>
      <c r="AJ12" s="38">
        <f>IF($F12="OS-SM-1",$E12,0)</f>
        <v>0</v>
      </c>
      <c r="AK12" s="38">
        <v>42</v>
      </c>
      <c r="AL12" s="38">
        <f>IF($F12="OS-SM-1",$E12,0)</f>
        <v>0</v>
      </c>
      <c r="AM12" s="38">
        <f>IF($F12="OS-SM-1",$E12,0)</f>
        <v>0</v>
      </c>
      <c r="AN12" s="38">
        <f>IF($F12="OS-SM-1",$E12,0)</f>
        <v>0</v>
      </c>
      <c r="AO12" s="38">
        <f>IF($F12="OS-SM-1",$E12,0)</f>
        <v>0</v>
      </c>
      <c r="AP12" s="38">
        <v>42</v>
      </c>
      <c r="AQ12" s="38">
        <f>IF($F12="OS-SM-1",$E12,0)</f>
        <v>0</v>
      </c>
      <c r="AR12" s="38">
        <f>IF($F12="OS-SM-1",$E12,0)</f>
        <v>0</v>
      </c>
      <c r="AS12" s="38">
        <f>IF($F12="OS-SM-1",$E12,0)</f>
        <v>0</v>
      </c>
      <c r="AT12" s="38">
        <v>42</v>
      </c>
      <c r="AU12" s="38">
        <f>IF($F12="OS-SM-1",$E12,0)</f>
        <v>0</v>
      </c>
      <c r="AV12" s="38">
        <v>42</v>
      </c>
      <c r="AW12" s="38">
        <f>IF($F12="OS-SM-1",$E12,0)</f>
        <v>0</v>
      </c>
      <c r="AX12" s="38">
        <f>IF($F12="OS-SM-1",$E12,0)</f>
        <v>0</v>
      </c>
      <c r="AY12" s="38">
        <v>42</v>
      </c>
      <c r="AZ12" s="38">
        <f>IF($F12="OS-SM-1",$E12,0)</f>
        <v>0</v>
      </c>
      <c r="BA12" s="38">
        <f>IF($F12="OS-SM-1",$E12,0)</f>
        <v>0</v>
      </c>
      <c r="BB12" s="38">
        <f>IF($F12="OS-SM-1",$E12,0)</f>
        <v>0</v>
      </c>
      <c r="BC12" s="38">
        <f>IF($F12="OS-SM-1",$E12,0)</f>
        <v>0</v>
      </c>
      <c r="BD12" s="38">
        <f>IF($F12="OS-SM-1",$E12,0)</f>
        <v>0</v>
      </c>
      <c r="BE12" s="38">
        <f>IF($F12="OS-SM-1",$E12,0)</f>
        <v>0</v>
      </c>
      <c r="BF12" s="38">
        <f>IF($F12="OS-SM-1",$E12,0)</f>
        <v>0</v>
      </c>
      <c r="BG12" s="38">
        <f>IF($F12="PC-UPC-652-2",$E12,0)</f>
        <v>0</v>
      </c>
      <c r="BH12" s="38">
        <f>IF($F12="PC-APC/UPC-652-A1",$E12,0)</f>
        <v>0</v>
      </c>
      <c r="BI12" s="38">
        <f>IF($F12="OS-SM-1",$E12,0)</f>
        <v>0</v>
      </c>
      <c r="BJ12" s="38">
        <f>IF($F12="ODC-C-144",$E12,0)</f>
        <v>0</v>
      </c>
      <c r="BK12" s="38">
        <f>IF($F12="ODC-C-288",1,0)</f>
        <v>0</v>
      </c>
      <c r="BL12" s="38">
        <f>IF($F12="ODC-PROT-144",1,0)</f>
        <v>0</v>
      </c>
      <c r="BM12" s="38">
        <f>IF($F12="ODC-PROT-288",1,0)</f>
        <v>0</v>
      </c>
      <c r="BN12" s="38">
        <f>IF($F12="ODP-CA-8",1,0)</f>
        <v>0</v>
      </c>
      <c r="BO12" s="38">
        <f>IF($F12="ODP-CA-16",1,0)</f>
        <v>0</v>
      </c>
      <c r="BP12" s="38">
        <f>IF($F12="ODP-A-8",1,0)</f>
        <v>0</v>
      </c>
      <c r="BQ12" s="38">
        <f>IF($F12="ODP-Solid-PB-8",1,0)</f>
        <v>0</v>
      </c>
      <c r="BR12" s="38">
        <f>IF($F12="ODP-Solid-PB-16",1,0)</f>
        <v>0</v>
      </c>
      <c r="BS12" s="38">
        <f>IF($F12="ODP-Solid-PB-8 AS",1,0)</f>
        <v>0</v>
      </c>
      <c r="BT12" s="38">
        <f>IF($F12="ODP-Solid-PB-16 AS",1,0)</f>
        <v>0</v>
      </c>
      <c r="BU12" s="38">
        <f>IF($F12="ODP-PL-16",1,0)</f>
        <v>0</v>
      </c>
      <c r="BV12" s="38">
        <f>IF($F12="TC-SM-12",1,0)</f>
        <v>0</v>
      </c>
      <c r="BW12" s="38">
        <f>IF($F12="TC-SM-12",1,0)</f>
        <v>0</v>
      </c>
      <c r="BX12" s="38">
        <f>IF($F12="TC-SM-48",1,0)</f>
        <v>0</v>
      </c>
      <c r="BY12" s="38">
        <f>IF($F12="TC-SM-96",1,0)</f>
        <v>0</v>
      </c>
      <c r="BZ12" s="38">
        <f>IF($F12="TC-SM-96",1,0)</f>
        <v>0</v>
      </c>
      <c r="CA12" s="38">
        <f>IF($F12="TC-SM-96",1,0)</f>
        <v>0</v>
      </c>
      <c r="CB12" s="38">
        <f>IF($F12="TC-SM-96",1,0)</f>
        <v>0</v>
      </c>
      <c r="CC12" s="38">
        <f>IF($F12="TC-SM-96",1,0)</f>
        <v>0</v>
      </c>
      <c r="CD12" s="38">
        <f>IF($F12="TC-SM-96",1,0)</f>
        <v>0</v>
      </c>
      <c r="CE12" s="38">
        <f>IF($F12="TC-SM-144",1,0)</f>
        <v>0</v>
      </c>
      <c r="CF12" s="38">
        <f>IF($F12="PS-1-4-ODC",$E12,0)</f>
        <v>0</v>
      </c>
      <c r="CG12" s="38">
        <f>IF($F12="PS-1-8-ODP",$E12,0)</f>
        <v>0</v>
      </c>
      <c r="CH12" s="38">
        <f>IF($F12="PS-1-16-ODP",1,0)</f>
        <v>0</v>
      </c>
      <c r="CI12" s="38">
        <f>IF($F12="TC-SM-96",1,0)</f>
        <v>0</v>
      </c>
      <c r="CJ12" s="38">
        <f>IF($F12="TC-SM-96",1,0)</f>
        <v>0</v>
      </c>
      <c r="CK12" s="38">
        <f>IF($F12="SITAC",1,0)</f>
        <v>0</v>
      </c>
      <c r="CL12" s="38">
        <f>IF($F12="PU-S7.0-140",1,0)</f>
        <v>0</v>
      </c>
      <c r="CM12" s="38">
        <f>IF($F12="PU-S7.0-400NM ",1,0)</f>
        <v>0</v>
      </c>
      <c r="CN12" s="38">
        <f>IF($F12="PU-S9.0-140",1,0)</f>
        <v>0</v>
      </c>
      <c r="CO12" s="38"/>
      <c r="CP12" s="38"/>
      <c r="CQ12" s="38"/>
      <c r="CR12" s="38">
        <f>IF($F12="PU-AS-SC",1,0)</f>
        <v>0</v>
      </c>
      <c r="CS12" s="38">
        <f>IF($F12="PU-AS-HL",1,0)</f>
        <v>0</v>
      </c>
      <c r="CT12" s="38">
        <f>IF($F12="STAINLESS BELT",1,0)</f>
        <v>0</v>
      </c>
      <c r="CU12" s="38">
        <f>IF($F12="PU-AS",1,0)</f>
        <v>0</v>
      </c>
      <c r="CV12" s="38">
        <f>IF($F12="GB-G1",1,0)</f>
        <v>0</v>
      </c>
      <c r="CW12" s="38">
        <f>IF($F12="GB-G3",1,0)</f>
        <v>0</v>
      </c>
      <c r="CX12" s="38"/>
      <c r="CY12" s="38">
        <f>IF($F12="TC-02-ODC",$E12,0)</f>
        <v>0</v>
      </c>
      <c r="CZ12" s="38">
        <f>IF($F12="tc-02-odc",1,0)</f>
        <v>0</v>
      </c>
      <c r="DA12" s="38">
        <f>IF($F12="tc-02-odc",1,0)</f>
        <v>0</v>
      </c>
      <c r="DB12" s="38">
        <f>IF($F12="tc-02-odc",1,0)</f>
        <v>0</v>
      </c>
      <c r="DC12" s="38">
        <f>IF($F12="tc-02-odc",1,0)</f>
        <v>0</v>
      </c>
      <c r="DD12" s="38">
        <f>IF($F12="tc-02-odc",1,0)</f>
        <v>0</v>
      </c>
      <c r="DE12" s="38">
        <f>IF($F12="tc-02-odc",1,0)</f>
        <v>0</v>
      </c>
      <c r="DF12" s="38">
        <f>IF($F12="tc-02-odc",1,0)</f>
        <v>0</v>
      </c>
      <c r="DG12" s="38">
        <f>IF($F12="tc-02-odc",1,0)</f>
        <v>0</v>
      </c>
      <c r="DH12" s="38">
        <f>IF($F12="tc-02-odc",1,0)</f>
        <v>0</v>
      </c>
      <c r="DI12" s="38">
        <f>IF($F12="tc-02-odc",1,0)</f>
        <v>0</v>
      </c>
      <c r="DJ12" s="38">
        <f>IF($F12="tc-02-odc",1,0)</f>
        <v>0</v>
      </c>
      <c r="DK12" s="38">
        <f>IF($F12="tc-02-odc",1,0)</f>
        <v>0</v>
      </c>
      <c r="DL12" s="38">
        <f>IF($F12="tc-02-odc",1,0)</f>
        <v>0</v>
      </c>
      <c r="DM12" s="38">
        <f>IF($F12="tc-02-odc",1,0)</f>
        <v>0</v>
      </c>
      <c r="DN12" s="38">
        <f>IF($F12="tc-02-odc",1,0)</f>
        <v>0</v>
      </c>
      <c r="DO12" s="38">
        <f>IF($F12="tc-02-odc",1,0)</f>
        <v>0</v>
      </c>
      <c r="DP12" s="38">
        <f>IF($F12="tc-02-odc",1,0)</f>
        <v>0</v>
      </c>
      <c r="DQ12" s="38">
        <f>IF($F12="tc-02-odc",1,0)</f>
        <v>0</v>
      </c>
      <c r="DR12" s="38">
        <f>IF($F12="tc-02-odc",1,0)</f>
        <v>0</v>
      </c>
      <c r="DS12" s="38">
        <f>IF($F12="tc-02-odc",1,0)</f>
        <v>0</v>
      </c>
      <c r="DT12" s="38">
        <f>IF($F12="tc-02-odc",1,0)</f>
        <v>0</v>
      </c>
      <c r="DU12" s="38">
        <f>IF($F12="tc-02-odc",1,0)</f>
        <v>0</v>
      </c>
      <c r="DV12" s="38">
        <f>IF($F12="tc-02-odc",1,0)</f>
        <v>0</v>
      </c>
      <c r="DW12" s="38">
        <f>IF($F12="tc-02-odc",1,0)</f>
        <v>0</v>
      </c>
      <c r="DX12" s="38">
        <f>IF($F12="tc-02-odc",1,0)</f>
        <v>0</v>
      </c>
      <c r="DY12" s="38">
        <f>IF($F12="tc-02-odc",1,0)</f>
        <v>0</v>
      </c>
      <c r="DZ12" s="38">
        <f>IF($F12="tc-02-odc",1,0)</f>
        <v>0</v>
      </c>
      <c r="EA12" s="38">
        <f>IF($F12="tc-02-odc",1,0)</f>
        <v>0</v>
      </c>
      <c r="EB12" s="38">
        <f>IF($F12="tc-02-odc",1,0)</f>
        <v>0</v>
      </c>
      <c r="EC12" s="38">
        <f>IF($F12="tc-02-odc",1,0)</f>
        <v>0</v>
      </c>
      <c r="ED12" s="38">
        <f>IF($F12="tc-02-odc",1,0)</f>
        <v>0</v>
      </c>
      <c r="EE12" s="38">
        <f>IF($F12="DCD-PVC-1",1,0)</f>
        <v>0</v>
      </c>
      <c r="EF12" s="38">
        <f>IF($F12="tc-02-odc",1,0)</f>
        <v>0</v>
      </c>
      <c r="EG12" s="38">
        <f>IF($F12="tc-02-odc",1,0)</f>
        <v>0</v>
      </c>
      <c r="EH12" s="38">
        <f>IF($F12="tc-02-odc",1,0)</f>
        <v>0</v>
      </c>
      <c r="EI12" s="38">
        <f>IF($F12="tc-02-odc",1,0)</f>
        <v>0</v>
      </c>
      <c r="EJ12" s="38">
        <f>IF($F12="tc-02-odc",1,0)</f>
        <v>0</v>
      </c>
      <c r="EK12" s="38">
        <f>IF($F12="tc-02-odc",1,0)</f>
        <v>0</v>
      </c>
      <c r="EL12" s="38">
        <f>IF($F12="tc-02-odc",1,0)</f>
        <v>0</v>
      </c>
      <c r="EM12" s="38">
        <f>IF($F12="tc-02-odc",1,0)</f>
        <v>0</v>
      </c>
      <c r="EN12" s="38">
        <f>IF($F12="DD-HDPE-40-1",$E12,0)</f>
        <v>0</v>
      </c>
      <c r="EO12" s="38">
        <f>IF($F12="DD-HDPE-40-1",$E12,0)</f>
        <v>0</v>
      </c>
      <c r="EP12" s="38">
        <f>IF($F12="DD-HDPE-50-1",$E12,0)</f>
        <v>0</v>
      </c>
      <c r="EQ12" s="38"/>
      <c r="ER12" s="38"/>
      <c r="ES12" s="38"/>
      <c r="ET12" s="38"/>
      <c r="EU12" s="38"/>
      <c r="EV12" s="38"/>
      <c r="EW12" s="38"/>
      <c r="EX12" s="38"/>
      <c r="EY12" s="38"/>
      <c r="EZ12" s="38"/>
      <c r="FA12" s="38"/>
      <c r="FB12" s="38"/>
      <c r="FC12" s="38"/>
      <c r="FD12" s="38"/>
      <c r="FE12" s="38"/>
      <c r="FF12" s="94"/>
      <c r="FG12" s="94"/>
      <c r="FH12" s="94"/>
      <c r="FI12" s="94"/>
      <c r="FJ12" s="94"/>
      <c r="FK12" s="94"/>
      <c r="FL12" s="94"/>
      <c r="FM12" s="94"/>
      <c r="FN12" s="94"/>
      <c r="FO12" s="94"/>
      <c r="FP12" s="94"/>
      <c r="FQ12" s="94"/>
      <c r="FR12" s="94"/>
      <c r="FS12" s="94"/>
      <c r="FT12" s="94"/>
      <c r="FU12" s="94"/>
      <c r="FV12" s="94"/>
      <c r="FW12" s="94"/>
      <c r="FX12" s="94"/>
      <c r="FY12" s="94"/>
      <c r="FZ12" s="94"/>
      <c r="GA12" s="94"/>
      <c r="GB12" s="94"/>
      <c r="GC12" s="94"/>
      <c r="GD12" s="94"/>
      <c r="GE12" s="94"/>
      <c r="GF12" s="94"/>
      <c r="GG12" s="94"/>
      <c r="GH12" s="94"/>
      <c r="GI12" s="94"/>
      <c r="GJ12" s="94"/>
      <c r="GK12" s="94"/>
      <c r="GL12" s="94"/>
      <c r="GM12" s="94"/>
      <c r="GN12" s="94"/>
      <c r="GO12" s="94"/>
      <c r="GP12" s="94"/>
      <c r="GQ12" s="94"/>
      <c r="GR12" s="94"/>
      <c r="GS12" s="94"/>
      <c r="GT12" s="94"/>
      <c r="GU12" s="94"/>
      <c r="GV12" s="94"/>
      <c r="GW12" s="94"/>
      <c r="GX12" s="94"/>
      <c r="GY12" s="94"/>
      <c r="GZ12" s="94"/>
      <c r="HA12" s="76"/>
      <c r="HB12" s="77"/>
      <c r="HC12" s="74"/>
    </row>
    <row r="13" spans="1:212" customHeight="1" ht="17.25" s="4" customFormat="1">
      <c r="A13" s="63"/>
      <c r="B13" s="31"/>
      <c r="C13" s="88"/>
      <c r="D13" s="88"/>
      <c r="E13" s="92"/>
      <c r="F13" s="93"/>
      <c r="G13" s="37">
        <f>IF($F13="SLACK-12CORE",$E13,0)</f>
        <v>0</v>
      </c>
      <c r="H13" s="37">
        <f>IF($F13="Slack Support HH",1,0)</f>
        <v>0</v>
      </c>
      <c r="I13" s="38">
        <f>IF($F13="SLACK-24CORE",$E13,0)</f>
        <v>0</v>
      </c>
      <c r="J13" s="38">
        <f>IF($F13="SLACK-48CORE",$E13,0)</f>
        <v>0</v>
      </c>
      <c r="K13" s="38">
        <f>IF($F13="SLACK-96CORE",$E13,0)</f>
        <v>0</v>
      </c>
      <c r="L13" s="38">
        <f>IF($F13="Slack Support HH",$E13,0)</f>
        <v>0</v>
      </c>
      <c r="M13" s="38">
        <f>IF($F13="HH-PIT-80",1,0)</f>
        <v>0</v>
      </c>
      <c r="N13" s="38">
        <f>IF($F13="AC-OF-SM-12D",$E13,0)</f>
        <v>0</v>
      </c>
      <c r="O13" s="38">
        <f>IF($F13="AC-OF-SM-24D",$E13,0)</f>
        <v>0</v>
      </c>
      <c r="P13" s="38">
        <f>IF($F13="AC-OF-SM-48D",$E13,0)</f>
        <v>0</v>
      </c>
      <c r="Q13" s="38">
        <f>IF($F13="AC-OF-SM-96D",$E13,0)</f>
        <v>0</v>
      </c>
      <c r="R13" s="38">
        <f>IF($F13="AC-OF-SM-ADSS-12D",$E13,0)</f>
        <v>0</v>
      </c>
      <c r="S13" s="38">
        <f>IF($F13="AC-OF-SM-12-SC",$E13,0)</f>
        <v>0</v>
      </c>
      <c r="T13" s="38">
        <f>IF($F13="AC-OF-SM-24-SC",$E13,0)</f>
        <v>0</v>
      </c>
      <c r="U13" s="38">
        <f>IF($F13="AC-OF-SM-48-SC",$E13,0)</f>
        <v>0</v>
      </c>
      <c r="V13" s="38">
        <f>IF($F13="AC-OF-SM-96-SC",$E13,0)</f>
        <v>0</v>
      </c>
      <c r="W13" s="38">
        <f>IF($F13="DC-OF-SM-144D",$E13,0)</f>
        <v>0</v>
      </c>
      <c r="X13" s="38">
        <f>IF($F13="DC-OF-SM-288D",$E13,0)</f>
        <v>0</v>
      </c>
      <c r="Y13" s="38">
        <f>IF($F13="AC-OF-SM-12-SC",$E13,0)</f>
        <v>0</v>
      </c>
      <c r="Z13" s="38">
        <f>IF($F13="SC-OF-SM-12",1,0)</f>
        <v>0</v>
      </c>
      <c r="AA13" s="38">
        <f>IF($F13="SC-OF-SM-12",1,0)</f>
        <v>0</v>
      </c>
      <c r="AB13" s="38">
        <f>IF($F13="SC-OF-SM-12",1,0)</f>
        <v>0</v>
      </c>
      <c r="AC13" s="38">
        <f>IF($F13="SC-OF-SM-12",1,0)</f>
        <v>0</v>
      </c>
      <c r="AD13" s="38">
        <f>IF($F13="SC-OF-SM-12",1,0)</f>
        <v>0</v>
      </c>
      <c r="AE13" s="38">
        <f>IF($F13="SC-OF-SM-24",1,0)</f>
        <v>0</v>
      </c>
      <c r="AF13" s="38">
        <f>IF($F13="OS-SM-1",$E13,0)</f>
        <v>0</v>
      </c>
      <c r="AG13" s="38">
        <f>IF($F13="OS-SM-1",$E13,0)</f>
        <v>0</v>
      </c>
      <c r="AH13" s="38">
        <f>IF($F13="OS-SM-1",$E13,0)</f>
        <v>0</v>
      </c>
      <c r="AI13" s="38">
        <f>IF($F13="OS-SM-1",$E13,0)</f>
        <v>0</v>
      </c>
      <c r="AJ13" s="38">
        <f>IF($F13="OS-SM-1",$E13,0)</f>
        <v>0</v>
      </c>
      <c r="AK13" s="38">
        <v>43</v>
      </c>
      <c r="AL13" s="38">
        <f>IF($F13="OS-SM-1",$E13,0)</f>
        <v>0</v>
      </c>
      <c r="AM13" s="38">
        <f>IF($F13="OS-SM-1",$E13,0)</f>
        <v>0</v>
      </c>
      <c r="AN13" s="38">
        <f>IF($F13="OS-SM-1",$E13,0)</f>
        <v>0</v>
      </c>
      <c r="AO13" s="38">
        <f>IF($F13="OS-SM-1",$E13,0)</f>
        <v>0</v>
      </c>
      <c r="AP13" s="38">
        <v>43</v>
      </c>
      <c r="AQ13" s="38">
        <f>IF($F13="OS-SM-1",$E13,0)</f>
        <v>0</v>
      </c>
      <c r="AR13" s="38">
        <f>IF($F13="OS-SM-1",$E13,0)</f>
        <v>0</v>
      </c>
      <c r="AS13" s="38">
        <f>IF($F13="OS-SM-1",$E13,0)</f>
        <v>0</v>
      </c>
      <c r="AT13" s="38">
        <v>43</v>
      </c>
      <c r="AU13" s="38">
        <f>IF($F13="OS-SM-1",$E13,0)</f>
        <v>0</v>
      </c>
      <c r="AV13" s="38">
        <v>43</v>
      </c>
      <c r="AW13" s="38">
        <f>IF($F13="OS-SM-1",$E13,0)</f>
        <v>0</v>
      </c>
      <c r="AX13" s="38">
        <f>IF($F13="OS-SM-1",$E13,0)</f>
        <v>0</v>
      </c>
      <c r="AY13" s="38">
        <v>43</v>
      </c>
      <c r="AZ13" s="38">
        <f>IF($F13="OS-SM-1",$E13,0)</f>
        <v>0</v>
      </c>
      <c r="BA13" s="38">
        <f>IF($F13="OS-SM-1",$E13,0)</f>
        <v>0</v>
      </c>
      <c r="BB13" s="38">
        <f>IF($F13="OS-SM-1",$E13,0)</f>
        <v>0</v>
      </c>
      <c r="BC13" s="38">
        <f>IF($F13="OS-SM-1",$E13,0)</f>
        <v>0</v>
      </c>
      <c r="BD13" s="38">
        <f>IF($F13="OS-SM-1",$E13,0)</f>
        <v>0</v>
      </c>
      <c r="BE13" s="38">
        <f>IF($F13="OS-SM-1",$E13,0)</f>
        <v>0</v>
      </c>
      <c r="BF13" s="38">
        <f>IF($F13="OS-SM-1",$E13,0)</f>
        <v>0</v>
      </c>
      <c r="BG13" s="38">
        <f>IF($F13="PC-UPC-652-2",$E13,0)</f>
        <v>0</v>
      </c>
      <c r="BH13" s="38">
        <f>IF($F13="PC-APC/UPC-652-A1",$E13,0)</f>
        <v>0</v>
      </c>
      <c r="BI13" s="38">
        <f>IF($F13="OS-SM-1",$E13,0)</f>
        <v>0</v>
      </c>
      <c r="BJ13" s="38">
        <f>IF($F13="ODC-C-144",$E13,0)</f>
        <v>0</v>
      </c>
      <c r="BK13" s="38">
        <f>IF($F13="ODC-C-288",1,0)</f>
        <v>0</v>
      </c>
      <c r="BL13" s="38">
        <f>IF($F13="ODC-PROT-144",1,0)</f>
        <v>0</v>
      </c>
      <c r="BM13" s="38">
        <f>IF($F13="ODC-PROT-288",1,0)</f>
        <v>0</v>
      </c>
      <c r="BN13" s="38">
        <f>IF($F13="ODP-CA-8",1,0)</f>
        <v>0</v>
      </c>
      <c r="BO13" s="38">
        <f>IF($F13="ODP-CA-16",1,0)</f>
        <v>0</v>
      </c>
      <c r="BP13" s="38">
        <f>IF($F13="ODP-A-8",1,0)</f>
        <v>0</v>
      </c>
      <c r="BQ13" s="38">
        <f>IF($F13="ODP-Solid-PB-8",1,0)</f>
        <v>0</v>
      </c>
      <c r="BR13" s="38">
        <f>IF($F13="ODP-Solid-PB-16",1,0)</f>
        <v>0</v>
      </c>
      <c r="BS13" s="38">
        <f>IF($F13="ODP-Solid-PB-8 AS",1,0)</f>
        <v>0</v>
      </c>
      <c r="BT13" s="38">
        <f>IF($F13="ODP-Solid-PB-16 AS",1,0)</f>
        <v>0</v>
      </c>
      <c r="BU13" s="38">
        <f>IF($F13="ODP-PL-16",1,0)</f>
        <v>0</v>
      </c>
      <c r="BV13" s="38">
        <f>IF($F13="TC-SM-12",1,0)</f>
        <v>0</v>
      </c>
      <c r="BW13" s="38">
        <f>IF($F13="TC-SM-12",1,0)</f>
        <v>0</v>
      </c>
      <c r="BX13" s="38">
        <f>IF($F13="TC-SM-48",1,0)</f>
        <v>0</v>
      </c>
      <c r="BY13" s="38">
        <f>IF($F13="TC-SM-96",1,0)</f>
        <v>0</v>
      </c>
      <c r="BZ13" s="38">
        <f>IF($F13="TC-SM-96",1,0)</f>
        <v>0</v>
      </c>
      <c r="CA13" s="38">
        <f>IF($F13="TC-SM-96",1,0)</f>
        <v>0</v>
      </c>
      <c r="CB13" s="38">
        <f>IF($F13="TC-SM-96",1,0)</f>
        <v>0</v>
      </c>
      <c r="CC13" s="38">
        <f>IF($F13="TC-SM-96",1,0)</f>
        <v>0</v>
      </c>
      <c r="CD13" s="38">
        <f>IF($F13="TC-SM-96",1,0)</f>
        <v>0</v>
      </c>
      <c r="CE13" s="38">
        <f>IF($F13="TC-SM-144",1,0)</f>
        <v>0</v>
      </c>
      <c r="CF13" s="38">
        <f>IF($F13="PS-1-4-ODC",$E13,0)</f>
        <v>0</v>
      </c>
      <c r="CG13" s="38">
        <f>IF($F13="PS-1-8-ODP",$E13,0)</f>
        <v>0</v>
      </c>
      <c r="CH13" s="38">
        <f>IF($F13="PS-1-16-ODP",1,0)</f>
        <v>0</v>
      </c>
      <c r="CI13" s="38">
        <f>IF($F13="TC-SM-96",1,0)</f>
        <v>0</v>
      </c>
      <c r="CJ13" s="38">
        <f>IF($F13="TC-SM-96",1,0)</f>
        <v>0</v>
      </c>
      <c r="CK13" s="38">
        <f>IF($F13="SITAC",1,0)</f>
        <v>0</v>
      </c>
      <c r="CL13" s="38">
        <f>IF($F13="PU-S7.0-140",1,0)</f>
        <v>0</v>
      </c>
      <c r="CM13" s="38">
        <f>IF($F13="PU-S7.0-400NM ",1,0)</f>
        <v>0</v>
      </c>
      <c r="CN13" s="38">
        <f>IF($F13="PU-S9.0-140",1,0)</f>
        <v>0</v>
      </c>
      <c r="CO13" s="38"/>
      <c r="CP13" s="38"/>
      <c r="CQ13" s="38"/>
      <c r="CR13" s="38">
        <f>IF($F13="PU-AS-SC",1,0)</f>
        <v>0</v>
      </c>
      <c r="CS13" s="38">
        <f>IF($F13="PU-AS-HL",1,0)</f>
        <v>0</v>
      </c>
      <c r="CT13" s="38">
        <f>IF($F13="STAINLESS BELT",1,0)</f>
        <v>0</v>
      </c>
      <c r="CU13" s="38">
        <f>IF($F13="PU-AS",1,0)</f>
        <v>0</v>
      </c>
      <c r="CV13" s="38">
        <f>IF($F13="GB-G1",1,0)</f>
        <v>0</v>
      </c>
      <c r="CW13" s="38">
        <f>IF($F13="GB-G3",1,0)</f>
        <v>0</v>
      </c>
      <c r="CX13" s="38"/>
      <c r="CY13" s="38">
        <f>IF($F13="TC-02-ODC",$E13,0)</f>
        <v>0</v>
      </c>
      <c r="CZ13" s="38">
        <f>IF($F13="tc-02-odc",1,0)</f>
        <v>0</v>
      </c>
      <c r="DA13" s="38">
        <f>IF($F13="tc-02-odc",1,0)</f>
        <v>0</v>
      </c>
      <c r="DB13" s="38">
        <f>IF($F13="tc-02-odc",1,0)</f>
        <v>0</v>
      </c>
      <c r="DC13" s="38">
        <f>IF($F13="tc-02-odc",1,0)</f>
        <v>0</v>
      </c>
      <c r="DD13" s="38">
        <f>IF($F13="tc-02-odc",1,0)</f>
        <v>0</v>
      </c>
      <c r="DE13" s="38">
        <f>IF($F13="tc-02-odc",1,0)</f>
        <v>0</v>
      </c>
      <c r="DF13" s="38">
        <f>IF($F13="tc-02-odc",1,0)</f>
        <v>0</v>
      </c>
      <c r="DG13" s="38">
        <f>IF($F13="tc-02-odc",1,0)</f>
        <v>0</v>
      </c>
      <c r="DH13" s="38">
        <f>IF($F13="tc-02-odc",1,0)</f>
        <v>0</v>
      </c>
      <c r="DI13" s="38">
        <f>IF($F13="tc-02-odc",1,0)</f>
        <v>0</v>
      </c>
      <c r="DJ13" s="38">
        <f>IF($F13="tc-02-odc",1,0)</f>
        <v>0</v>
      </c>
      <c r="DK13" s="38">
        <f>IF($F13="tc-02-odc",1,0)</f>
        <v>0</v>
      </c>
      <c r="DL13" s="38">
        <f>IF($F13="tc-02-odc",1,0)</f>
        <v>0</v>
      </c>
      <c r="DM13" s="38">
        <f>IF($F13="tc-02-odc",1,0)</f>
        <v>0</v>
      </c>
      <c r="DN13" s="38">
        <f>IF($F13="tc-02-odc",1,0)</f>
        <v>0</v>
      </c>
      <c r="DO13" s="38">
        <f>IF($F13="tc-02-odc",1,0)</f>
        <v>0</v>
      </c>
      <c r="DP13" s="38">
        <f>IF($F13="tc-02-odc",1,0)</f>
        <v>0</v>
      </c>
      <c r="DQ13" s="38">
        <f>IF($F13="tc-02-odc",1,0)</f>
        <v>0</v>
      </c>
      <c r="DR13" s="38">
        <f>IF($F13="tc-02-odc",1,0)</f>
        <v>0</v>
      </c>
      <c r="DS13" s="38">
        <f>IF($F13="tc-02-odc",1,0)</f>
        <v>0</v>
      </c>
      <c r="DT13" s="38">
        <f>IF($F13="tc-02-odc",1,0)</f>
        <v>0</v>
      </c>
      <c r="DU13" s="38">
        <f>IF($F13="tc-02-odc",1,0)</f>
        <v>0</v>
      </c>
      <c r="DV13" s="38">
        <f>IF($F13="tc-02-odc",1,0)</f>
        <v>0</v>
      </c>
      <c r="DW13" s="38">
        <f>IF($F13="tc-02-odc",1,0)</f>
        <v>0</v>
      </c>
      <c r="DX13" s="38">
        <f>IF($F13="tc-02-odc",1,0)</f>
        <v>0</v>
      </c>
      <c r="DY13" s="38">
        <f>IF($F13="tc-02-odc",1,0)</f>
        <v>0</v>
      </c>
      <c r="DZ13" s="38">
        <f>IF($F13="tc-02-odc",1,0)</f>
        <v>0</v>
      </c>
      <c r="EA13" s="38">
        <f>IF($F13="tc-02-odc",1,0)</f>
        <v>0</v>
      </c>
      <c r="EB13" s="38">
        <f>IF($F13="tc-02-odc",1,0)</f>
        <v>0</v>
      </c>
      <c r="EC13" s="38">
        <f>IF($F13="tc-02-odc",1,0)</f>
        <v>0</v>
      </c>
      <c r="ED13" s="38">
        <f>IF($F13="tc-02-odc",1,0)</f>
        <v>0</v>
      </c>
      <c r="EE13" s="38">
        <f>IF($F13="DCD-PVC-1",1,0)</f>
        <v>0</v>
      </c>
      <c r="EF13" s="38">
        <f>IF($F13="tc-02-odc",1,0)</f>
        <v>0</v>
      </c>
      <c r="EG13" s="38">
        <f>IF($F13="tc-02-odc",1,0)</f>
        <v>0</v>
      </c>
      <c r="EH13" s="38">
        <f>IF($F13="tc-02-odc",1,0)</f>
        <v>0</v>
      </c>
      <c r="EI13" s="38">
        <f>IF($F13="tc-02-odc",1,0)</f>
        <v>0</v>
      </c>
      <c r="EJ13" s="38">
        <f>IF($F13="tc-02-odc",1,0)</f>
        <v>0</v>
      </c>
      <c r="EK13" s="38">
        <f>IF($F13="tc-02-odc",1,0)</f>
        <v>0</v>
      </c>
      <c r="EL13" s="38">
        <f>IF($F13="tc-02-odc",1,0)</f>
        <v>0</v>
      </c>
      <c r="EM13" s="38">
        <f>IF($F13="tc-02-odc",1,0)</f>
        <v>0</v>
      </c>
      <c r="EN13" s="38">
        <f>IF($F13="DD-HDPE-40-1",$E13,0)</f>
        <v>0</v>
      </c>
      <c r="EO13" s="38">
        <f>IF($F13="DD-HDPE-40-1",$E13,0)</f>
        <v>0</v>
      </c>
      <c r="EP13" s="38">
        <f>IF($F13="DD-HDPE-50-1",$E13,0)</f>
        <v>0</v>
      </c>
      <c r="EQ13" s="38"/>
      <c r="ER13" s="38"/>
      <c r="ES13" s="38"/>
      <c r="ET13" s="38"/>
      <c r="EU13" s="38"/>
      <c r="EV13" s="38"/>
      <c r="EW13" s="38"/>
      <c r="EX13" s="38"/>
      <c r="EY13" s="38"/>
      <c r="EZ13" s="38"/>
      <c r="FA13" s="38"/>
      <c r="FB13" s="38"/>
      <c r="FC13" s="38"/>
      <c r="FD13" s="38"/>
      <c r="FE13" s="38"/>
      <c r="FF13" s="94"/>
      <c r="FG13" s="94"/>
      <c r="FH13" s="94"/>
      <c r="FI13" s="94"/>
      <c r="FJ13" s="94"/>
      <c r="FK13" s="94"/>
      <c r="FL13" s="94"/>
      <c r="FM13" s="94"/>
      <c r="FN13" s="94"/>
      <c r="FO13" s="94"/>
      <c r="FP13" s="94"/>
      <c r="FQ13" s="94"/>
      <c r="FR13" s="94"/>
      <c r="FS13" s="94"/>
      <c r="FT13" s="94"/>
      <c r="FU13" s="94"/>
      <c r="FV13" s="94"/>
      <c r="FW13" s="94"/>
      <c r="FX13" s="94"/>
      <c r="FY13" s="94"/>
      <c r="FZ13" s="94"/>
      <c r="GA13" s="94"/>
      <c r="GB13" s="94"/>
      <c r="GC13" s="94"/>
      <c r="GD13" s="94"/>
      <c r="GE13" s="94"/>
      <c r="GF13" s="94"/>
      <c r="GG13" s="94"/>
      <c r="GH13" s="94"/>
      <c r="GI13" s="94"/>
      <c r="GJ13" s="94"/>
      <c r="GK13" s="94"/>
      <c r="GL13" s="94"/>
      <c r="GM13" s="94"/>
      <c r="GN13" s="94"/>
      <c r="GO13" s="94"/>
      <c r="GP13" s="94"/>
      <c r="GQ13" s="94"/>
      <c r="GR13" s="94"/>
      <c r="GS13" s="94"/>
      <c r="GT13" s="94"/>
      <c r="GU13" s="94"/>
      <c r="GV13" s="94"/>
      <c r="GW13" s="94"/>
      <c r="GX13" s="94"/>
      <c r="GY13" s="94"/>
      <c r="GZ13" s="94"/>
      <c r="HA13" s="76"/>
      <c r="HB13" s="77"/>
      <c r="HC13" s="74"/>
    </row>
    <row r="14" spans="1:212" customHeight="1" ht="17.25" s="4" customFormat="1">
      <c r="A14" s="63"/>
      <c r="B14" s="31"/>
      <c r="C14" s="88"/>
      <c r="D14" s="88"/>
      <c r="E14" s="92"/>
      <c r="F14" s="93"/>
      <c r="G14" s="37">
        <f>IF($F14="SLACK-12CORE",$E14,0)</f>
        <v>0</v>
      </c>
      <c r="H14" s="37">
        <f>IF($F14="Slack Support HH",1,0)</f>
        <v>0</v>
      </c>
      <c r="I14" s="38">
        <f>IF($F14="SLACK-24CORE",$E14,0)</f>
        <v>0</v>
      </c>
      <c r="J14" s="38">
        <f>IF($F14="SLACK-48CORE",$E14,0)</f>
        <v>0</v>
      </c>
      <c r="K14" s="38">
        <f>IF($F14="SLACK-96CORE",$E14,0)</f>
        <v>0</v>
      </c>
      <c r="L14" s="38">
        <f>IF($F14="Slack Support HH",$E14,0)</f>
        <v>0</v>
      </c>
      <c r="M14" s="38">
        <f>IF($F14="HH-PIT-80",1,0)</f>
        <v>0</v>
      </c>
      <c r="N14" s="38">
        <f>IF($F14="AC-OF-SM-12D",$E14,0)</f>
        <v>0</v>
      </c>
      <c r="O14" s="38">
        <f>IF($F14="AC-OF-SM-24D",$E14,0)</f>
        <v>0</v>
      </c>
      <c r="P14" s="38">
        <f>IF($F14="AC-OF-SM-48D",$E14,0)</f>
        <v>0</v>
      </c>
      <c r="Q14" s="38">
        <f>IF($F14="AC-OF-SM-96D",$E14,0)</f>
        <v>0</v>
      </c>
      <c r="R14" s="38">
        <f>IF($F14="AC-OF-SM-ADSS-12D",$E14,0)</f>
        <v>0</v>
      </c>
      <c r="S14" s="38">
        <f>IF($F14="AC-OF-SM-12-SC",$E14,0)</f>
        <v>0</v>
      </c>
      <c r="T14" s="38">
        <f>IF($F14="AC-OF-SM-24-SC",$E14,0)</f>
        <v>0</v>
      </c>
      <c r="U14" s="38">
        <f>IF($F14="AC-OF-SM-48-SC",$E14,0)</f>
        <v>0</v>
      </c>
      <c r="V14" s="38">
        <f>IF($F14="AC-OF-SM-96-SC",$E14,0)</f>
        <v>0</v>
      </c>
      <c r="W14" s="38">
        <f>IF($F14="DC-OF-SM-144D",$E14,0)</f>
        <v>0</v>
      </c>
      <c r="X14" s="38">
        <f>IF($F14="DC-OF-SM-288D",$E14,0)</f>
        <v>0</v>
      </c>
      <c r="Y14" s="38">
        <f>IF($F14="AC-OF-SM-12-SC",$E14,0)</f>
        <v>0</v>
      </c>
      <c r="Z14" s="38">
        <f>IF($F14="SC-OF-SM-12",1,0)</f>
        <v>0</v>
      </c>
      <c r="AA14" s="38">
        <f>IF($F14="SC-OF-SM-12",1,0)</f>
        <v>0</v>
      </c>
      <c r="AB14" s="38">
        <f>IF($F14="SC-OF-SM-12",1,0)</f>
        <v>0</v>
      </c>
      <c r="AC14" s="38">
        <f>IF($F14="SC-OF-SM-12",1,0)</f>
        <v>0</v>
      </c>
      <c r="AD14" s="38">
        <f>IF($F14="SC-OF-SM-12",1,0)</f>
        <v>0</v>
      </c>
      <c r="AE14" s="38">
        <f>IF($F14="SC-OF-SM-24",1,0)</f>
        <v>0</v>
      </c>
      <c r="AF14" s="38">
        <f>IF($F14="OS-SM-1",$E14,0)</f>
        <v>0</v>
      </c>
      <c r="AG14" s="38">
        <f>IF($F14="OS-SM-1",$E14,0)</f>
        <v>0</v>
      </c>
      <c r="AH14" s="38">
        <f>IF($F14="OS-SM-1",$E14,0)</f>
        <v>0</v>
      </c>
      <c r="AI14" s="38">
        <f>IF($F14="OS-SM-1",$E14,0)</f>
        <v>0</v>
      </c>
      <c r="AJ14" s="38">
        <f>IF($F14="OS-SM-1",$E14,0)</f>
        <v>0</v>
      </c>
      <c r="AK14" s="38">
        <v>44</v>
      </c>
      <c r="AL14" s="38">
        <f>IF($F14="OS-SM-1",$E14,0)</f>
        <v>0</v>
      </c>
      <c r="AM14" s="38">
        <f>IF($F14="OS-SM-1",$E14,0)</f>
        <v>0</v>
      </c>
      <c r="AN14" s="38">
        <f>IF($F14="OS-SM-1",$E14,0)</f>
        <v>0</v>
      </c>
      <c r="AO14" s="38">
        <f>IF($F14="OS-SM-1",$E14,0)</f>
        <v>0</v>
      </c>
      <c r="AP14" s="38">
        <v>44</v>
      </c>
      <c r="AQ14" s="38">
        <f>IF($F14="OS-SM-1",$E14,0)</f>
        <v>0</v>
      </c>
      <c r="AR14" s="38">
        <f>IF($F14="OS-SM-1",$E14,0)</f>
        <v>0</v>
      </c>
      <c r="AS14" s="38">
        <f>IF($F14="OS-SM-1",$E14,0)</f>
        <v>0</v>
      </c>
      <c r="AT14" s="38">
        <v>44</v>
      </c>
      <c r="AU14" s="38">
        <f>IF($F14="OS-SM-1",$E14,0)</f>
        <v>0</v>
      </c>
      <c r="AV14" s="38">
        <v>44</v>
      </c>
      <c r="AW14" s="38">
        <f>IF($F14="OS-SM-1",$E14,0)</f>
        <v>0</v>
      </c>
      <c r="AX14" s="38">
        <f>IF($F14="OS-SM-1",$E14,0)</f>
        <v>0</v>
      </c>
      <c r="AY14" s="38">
        <v>44</v>
      </c>
      <c r="AZ14" s="38">
        <f>IF($F14="OS-SM-1",$E14,0)</f>
        <v>0</v>
      </c>
      <c r="BA14" s="38">
        <f>IF($F14="OS-SM-1",$E14,0)</f>
        <v>0</v>
      </c>
      <c r="BB14" s="38">
        <f>IF($F14="OS-SM-1",$E14,0)</f>
        <v>0</v>
      </c>
      <c r="BC14" s="38">
        <f>IF($F14="OS-SM-1",$E14,0)</f>
        <v>0</v>
      </c>
      <c r="BD14" s="38">
        <f>IF($F14="OS-SM-1",$E14,0)</f>
        <v>0</v>
      </c>
      <c r="BE14" s="38">
        <f>IF($F14="OS-SM-1",$E14,0)</f>
        <v>0</v>
      </c>
      <c r="BF14" s="38">
        <f>IF($F14="OS-SM-1",$E14,0)</f>
        <v>0</v>
      </c>
      <c r="BG14" s="38">
        <f>IF($F14="PC-UPC-652-2",$E14,0)</f>
        <v>0</v>
      </c>
      <c r="BH14" s="38">
        <f>IF($F14="PC-APC/UPC-652-A1",$E14,0)</f>
        <v>0</v>
      </c>
      <c r="BI14" s="38">
        <f>IF($F14="OS-SM-1",$E14,0)</f>
        <v>0</v>
      </c>
      <c r="BJ14" s="38">
        <f>IF($F14="ODC-C-144",$E14,0)</f>
        <v>0</v>
      </c>
      <c r="BK14" s="38">
        <f>IF($F14="ODC-C-288",1,0)</f>
        <v>0</v>
      </c>
      <c r="BL14" s="38">
        <f>IF($F14="ODC-PROT-144",1,0)</f>
        <v>0</v>
      </c>
      <c r="BM14" s="38">
        <f>IF($F14="ODC-PROT-288",1,0)</f>
        <v>0</v>
      </c>
      <c r="BN14" s="38">
        <f>IF($F14="ODP-CA-8",1,0)</f>
        <v>0</v>
      </c>
      <c r="BO14" s="38">
        <f>IF($F14="ODP-CA-16",1,0)</f>
        <v>0</v>
      </c>
      <c r="BP14" s="38">
        <f>IF($F14="ODP-A-8",1,0)</f>
        <v>0</v>
      </c>
      <c r="BQ14" s="38">
        <f>IF($F14="ODP-Solid-PB-8",1,0)</f>
        <v>0</v>
      </c>
      <c r="BR14" s="38">
        <f>IF($F14="ODP-Solid-PB-16",1,0)</f>
        <v>0</v>
      </c>
      <c r="BS14" s="38">
        <f>IF($F14="ODP-Solid-PB-8 AS",1,0)</f>
        <v>0</v>
      </c>
      <c r="BT14" s="38">
        <f>IF($F14="ODP-Solid-PB-16 AS",1,0)</f>
        <v>0</v>
      </c>
      <c r="BU14" s="38">
        <f>IF($F14="ODP-PL-16",1,0)</f>
        <v>0</v>
      </c>
      <c r="BV14" s="38">
        <f>IF($F14="TC-SM-12",1,0)</f>
        <v>0</v>
      </c>
      <c r="BW14" s="38">
        <f>IF($F14="TC-SM-12",1,0)</f>
        <v>0</v>
      </c>
      <c r="BX14" s="38">
        <f>IF($F14="TC-SM-48",1,0)</f>
        <v>0</v>
      </c>
      <c r="BY14" s="38">
        <f>IF($F14="TC-SM-96",1,0)</f>
        <v>0</v>
      </c>
      <c r="BZ14" s="38">
        <f>IF($F14="TC-SM-96",1,0)</f>
        <v>0</v>
      </c>
      <c r="CA14" s="38">
        <f>IF($F14="TC-SM-96",1,0)</f>
        <v>0</v>
      </c>
      <c r="CB14" s="38">
        <f>IF($F14="TC-SM-96",1,0)</f>
        <v>0</v>
      </c>
      <c r="CC14" s="38">
        <f>IF($F14="TC-SM-96",1,0)</f>
        <v>0</v>
      </c>
      <c r="CD14" s="38">
        <f>IF($F14="TC-SM-96",1,0)</f>
        <v>0</v>
      </c>
      <c r="CE14" s="38">
        <f>IF($F14="TC-SM-144",1,0)</f>
        <v>0</v>
      </c>
      <c r="CF14" s="38">
        <f>IF($F14="PS-1-4-ODC",$E14,0)</f>
        <v>0</v>
      </c>
      <c r="CG14" s="38">
        <f>IF($F14="PS-1-8-ODP",$E14,0)</f>
        <v>0</v>
      </c>
      <c r="CH14" s="38">
        <f>IF($F14="PS-1-16-ODP",1,0)</f>
        <v>0</v>
      </c>
      <c r="CI14" s="38">
        <f>IF($F14="TC-SM-96",1,0)</f>
        <v>0</v>
      </c>
      <c r="CJ14" s="38">
        <f>IF($F14="TC-SM-96",1,0)</f>
        <v>0</v>
      </c>
      <c r="CK14" s="38">
        <f>IF($F14="SITAC",1,0)</f>
        <v>0</v>
      </c>
      <c r="CL14" s="38">
        <f>IF($F14="PU-S7.0-140",1,0)</f>
        <v>0</v>
      </c>
      <c r="CM14" s="38">
        <f>IF($F14="PU-S7.0-400NM ",1,0)</f>
        <v>0</v>
      </c>
      <c r="CN14" s="38">
        <f>IF($F14="PU-S9.0-140",1,0)</f>
        <v>0</v>
      </c>
      <c r="CO14" s="38"/>
      <c r="CP14" s="38"/>
      <c r="CQ14" s="38"/>
      <c r="CR14" s="38">
        <f>IF($F14="PU-AS-SC",1,0)</f>
        <v>0</v>
      </c>
      <c r="CS14" s="38">
        <f>IF($F14="PU-AS-HL",1,0)</f>
        <v>0</v>
      </c>
      <c r="CT14" s="38">
        <f>IF($F14="STAINLESS BELT",1,0)</f>
        <v>0</v>
      </c>
      <c r="CU14" s="38">
        <f>IF($F14="PU-AS",1,0)</f>
        <v>0</v>
      </c>
      <c r="CV14" s="38">
        <f>IF($F14="GB-G1",1,0)</f>
        <v>0</v>
      </c>
      <c r="CW14" s="38">
        <f>IF($F14="GB-G3",1,0)</f>
        <v>0</v>
      </c>
      <c r="CX14" s="38"/>
      <c r="CY14" s="38">
        <f>IF($F14="TC-02-ODC",$E14,0)</f>
        <v>0</v>
      </c>
      <c r="CZ14" s="38">
        <f>IF($F14="tc-02-odc",1,0)</f>
        <v>0</v>
      </c>
      <c r="DA14" s="38">
        <f>IF($F14="tc-02-odc",1,0)</f>
        <v>0</v>
      </c>
      <c r="DB14" s="38">
        <f>IF($F14="tc-02-odc",1,0)</f>
        <v>0</v>
      </c>
      <c r="DC14" s="38">
        <f>IF($F14="tc-02-odc",1,0)</f>
        <v>0</v>
      </c>
      <c r="DD14" s="38">
        <f>IF($F14="tc-02-odc",1,0)</f>
        <v>0</v>
      </c>
      <c r="DE14" s="38">
        <f>IF($F14="tc-02-odc",1,0)</f>
        <v>0</v>
      </c>
      <c r="DF14" s="38">
        <f>IF($F14="tc-02-odc",1,0)</f>
        <v>0</v>
      </c>
      <c r="DG14" s="38">
        <f>IF($F14="tc-02-odc",1,0)</f>
        <v>0</v>
      </c>
      <c r="DH14" s="38">
        <f>IF($F14="tc-02-odc",1,0)</f>
        <v>0</v>
      </c>
      <c r="DI14" s="38">
        <f>IF($F14="tc-02-odc",1,0)</f>
        <v>0</v>
      </c>
      <c r="DJ14" s="38">
        <f>IF($F14="tc-02-odc",1,0)</f>
        <v>0</v>
      </c>
      <c r="DK14" s="38">
        <f>IF($F14="tc-02-odc",1,0)</f>
        <v>0</v>
      </c>
      <c r="DL14" s="38">
        <f>IF($F14="tc-02-odc",1,0)</f>
        <v>0</v>
      </c>
      <c r="DM14" s="38">
        <f>IF($F14="tc-02-odc",1,0)</f>
        <v>0</v>
      </c>
      <c r="DN14" s="38">
        <f>IF($F14="tc-02-odc",1,0)</f>
        <v>0</v>
      </c>
      <c r="DO14" s="38">
        <f>IF($F14="tc-02-odc",1,0)</f>
        <v>0</v>
      </c>
      <c r="DP14" s="38">
        <f>IF($F14="tc-02-odc",1,0)</f>
        <v>0</v>
      </c>
      <c r="DQ14" s="38">
        <f>IF($F14="tc-02-odc",1,0)</f>
        <v>0</v>
      </c>
      <c r="DR14" s="38">
        <f>IF($F14="tc-02-odc",1,0)</f>
        <v>0</v>
      </c>
      <c r="DS14" s="38">
        <f>IF($F14="tc-02-odc",1,0)</f>
        <v>0</v>
      </c>
      <c r="DT14" s="38">
        <f>IF($F14="tc-02-odc",1,0)</f>
        <v>0</v>
      </c>
      <c r="DU14" s="38">
        <f>IF($F14="tc-02-odc",1,0)</f>
        <v>0</v>
      </c>
      <c r="DV14" s="38">
        <f>IF($F14="tc-02-odc",1,0)</f>
        <v>0</v>
      </c>
      <c r="DW14" s="38">
        <f>IF($F14="tc-02-odc",1,0)</f>
        <v>0</v>
      </c>
      <c r="DX14" s="38">
        <f>IF($F14="tc-02-odc",1,0)</f>
        <v>0</v>
      </c>
      <c r="DY14" s="38">
        <f>IF($F14="tc-02-odc",1,0)</f>
        <v>0</v>
      </c>
      <c r="DZ14" s="38">
        <f>IF($F14="tc-02-odc",1,0)</f>
        <v>0</v>
      </c>
      <c r="EA14" s="38">
        <f>IF($F14="tc-02-odc",1,0)</f>
        <v>0</v>
      </c>
      <c r="EB14" s="38">
        <f>IF($F14="tc-02-odc",1,0)</f>
        <v>0</v>
      </c>
      <c r="EC14" s="38">
        <f>IF($F14="tc-02-odc",1,0)</f>
        <v>0</v>
      </c>
      <c r="ED14" s="38">
        <f>IF($F14="tc-02-odc",1,0)</f>
        <v>0</v>
      </c>
      <c r="EE14" s="38">
        <f>IF($F14="DCD-PVC-1",1,0)</f>
        <v>0</v>
      </c>
      <c r="EF14" s="38">
        <f>IF($F14="tc-02-odc",1,0)</f>
        <v>0</v>
      </c>
      <c r="EG14" s="38">
        <f>IF($F14="tc-02-odc",1,0)</f>
        <v>0</v>
      </c>
      <c r="EH14" s="38">
        <f>IF($F14="tc-02-odc",1,0)</f>
        <v>0</v>
      </c>
      <c r="EI14" s="38">
        <f>IF($F14="tc-02-odc",1,0)</f>
        <v>0</v>
      </c>
      <c r="EJ14" s="38">
        <f>IF($F14="tc-02-odc",1,0)</f>
        <v>0</v>
      </c>
      <c r="EK14" s="38">
        <f>IF($F14="tc-02-odc",1,0)</f>
        <v>0</v>
      </c>
      <c r="EL14" s="38">
        <f>IF($F14="tc-02-odc",1,0)</f>
        <v>0</v>
      </c>
      <c r="EM14" s="38">
        <f>IF($F14="tc-02-odc",1,0)</f>
        <v>0</v>
      </c>
      <c r="EN14" s="38">
        <f>IF($F14="DD-HDPE-40-1",$E14,0)</f>
        <v>0</v>
      </c>
      <c r="EO14" s="38">
        <f>IF($F14="DD-HDPE-40-1",$E14,0)</f>
        <v>0</v>
      </c>
      <c r="EP14" s="38">
        <f>IF($F14="DD-HDPE-50-1",$E14,0)</f>
        <v>0</v>
      </c>
      <c r="EQ14" s="38"/>
      <c r="ER14" s="38"/>
      <c r="ES14" s="38"/>
      <c r="ET14" s="38"/>
      <c r="EU14" s="38"/>
      <c r="EV14" s="38"/>
      <c r="EW14" s="38"/>
      <c r="EX14" s="38"/>
      <c r="EY14" s="38"/>
      <c r="EZ14" s="38"/>
      <c r="FA14" s="38"/>
      <c r="FB14" s="38"/>
      <c r="FC14" s="38"/>
      <c r="FD14" s="38"/>
      <c r="FE14" s="38"/>
      <c r="FF14" s="94"/>
      <c r="FG14" s="94"/>
      <c r="FH14" s="94"/>
      <c r="FI14" s="94"/>
      <c r="FJ14" s="94"/>
      <c r="FK14" s="94"/>
      <c r="FL14" s="94"/>
      <c r="FM14" s="94"/>
      <c r="FN14" s="94"/>
      <c r="FO14" s="94"/>
      <c r="FP14" s="94"/>
      <c r="FQ14" s="94"/>
      <c r="FR14" s="94"/>
      <c r="FS14" s="94"/>
      <c r="FT14" s="94"/>
      <c r="FU14" s="94"/>
      <c r="FV14" s="94"/>
      <c r="FW14" s="94"/>
      <c r="FX14" s="94"/>
      <c r="FY14" s="94"/>
      <c r="FZ14" s="94"/>
      <c r="GA14" s="94"/>
      <c r="GB14" s="94"/>
      <c r="GC14" s="94"/>
      <c r="GD14" s="94"/>
      <c r="GE14" s="94"/>
      <c r="GF14" s="94"/>
      <c r="GG14" s="94"/>
      <c r="GH14" s="94"/>
      <c r="GI14" s="94"/>
      <c r="GJ14" s="94"/>
      <c r="GK14" s="94"/>
      <c r="GL14" s="94"/>
      <c r="GM14" s="94"/>
      <c r="GN14" s="94"/>
      <c r="GO14" s="94"/>
      <c r="GP14" s="94"/>
      <c r="GQ14" s="94"/>
      <c r="GR14" s="94"/>
      <c r="GS14" s="94"/>
      <c r="GT14" s="94"/>
      <c r="GU14" s="94"/>
      <c r="GV14" s="94"/>
      <c r="GW14" s="94"/>
      <c r="GX14" s="94"/>
      <c r="GY14" s="94"/>
      <c r="GZ14" s="94"/>
      <c r="HA14" s="76"/>
      <c r="HB14" s="77"/>
      <c r="HC14" s="74"/>
    </row>
    <row r="15" spans="1:212" customHeight="1" ht="17.25" s="4" customFormat="1">
      <c r="A15" s="63"/>
      <c r="B15" s="31"/>
      <c r="C15" s="88"/>
      <c r="D15" s="88"/>
      <c r="E15" s="92"/>
      <c r="F15" s="93"/>
      <c r="G15" s="37">
        <f>IF($F15="SLACK-12CORE",$E15,0)</f>
        <v>0</v>
      </c>
      <c r="H15" s="37">
        <f>IF($F15="Slack Support HH",1,0)</f>
        <v>0</v>
      </c>
      <c r="I15" s="38">
        <f>IF($F15="SLACK-24CORE",$E15,0)</f>
        <v>0</v>
      </c>
      <c r="J15" s="38">
        <f>IF($F15="SLACK-48CORE",$E15,0)</f>
        <v>0</v>
      </c>
      <c r="K15" s="38">
        <f>IF($F15="SLACK-96CORE",$E15,0)</f>
        <v>0</v>
      </c>
      <c r="L15" s="38">
        <f>IF($F15="Slack Support HH",$E15,0)</f>
        <v>0</v>
      </c>
      <c r="M15" s="38">
        <f>IF($F15="HH-PIT-80",1,0)</f>
        <v>0</v>
      </c>
      <c r="N15" s="38">
        <f>IF($F15="AC-OF-SM-12D",$E15,0)</f>
        <v>0</v>
      </c>
      <c r="O15" s="38">
        <f>IF($F15="AC-OF-SM-24D",$E15,0)</f>
        <v>0</v>
      </c>
      <c r="P15" s="38">
        <f>IF($F15="AC-OF-SM-48D",$E15,0)</f>
        <v>0</v>
      </c>
      <c r="Q15" s="38">
        <f>IF($F15="AC-OF-SM-96D",$E15,0)</f>
        <v>0</v>
      </c>
      <c r="R15" s="38">
        <f>IF($F15="AC-OF-SM-ADSS-12D",$E15,0)</f>
        <v>0</v>
      </c>
      <c r="S15" s="38">
        <f>IF($F15="AC-OF-SM-12-SC",$E15,0)</f>
        <v>0</v>
      </c>
      <c r="T15" s="38">
        <f>IF($F15="AC-OF-SM-24-SC",$E15,0)</f>
        <v>0</v>
      </c>
      <c r="U15" s="38">
        <f>IF($F15="AC-OF-SM-48-SC",$E15,0)</f>
        <v>0</v>
      </c>
      <c r="V15" s="38">
        <f>IF($F15="AC-OF-SM-96-SC",$E15,0)</f>
        <v>0</v>
      </c>
      <c r="W15" s="38">
        <f>IF($F15="DC-OF-SM-144D",$E15,0)</f>
        <v>0</v>
      </c>
      <c r="X15" s="38">
        <f>IF($F15="DC-OF-SM-288D",$E15,0)</f>
        <v>0</v>
      </c>
      <c r="Y15" s="38">
        <f>IF($F15="AC-OF-SM-12-SC",$E15,0)</f>
        <v>0</v>
      </c>
      <c r="Z15" s="38">
        <f>IF($F15="SC-OF-SM-12",1,0)</f>
        <v>0</v>
      </c>
      <c r="AA15" s="38">
        <f>IF($F15="SC-OF-SM-12",1,0)</f>
        <v>0</v>
      </c>
      <c r="AB15" s="38">
        <f>IF($F15="SC-OF-SM-12",1,0)</f>
        <v>0</v>
      </c>
      <c r="AC15" s="38">
        <f>IF($F15="SC-OF-SM-12",1,0)</f>
        <v>0</v>
      </c>
      <c r="AD15" s="38">
        <f>IF($F15="SC-OF-SM-12",1,0)</f>
        <v>0</v>
      </c>
      <c r="AE15" s="38">
        <f>IF($F15="SC-OF-SM-24",1,0)</f>
        <v>0</v>
      </c>
      <c r="AF15" s="38">
        <f>IF($F15="OS-SM-1",$E15,0)</f>
        <v>0</v>
      </c>
      <c r="AG15" s="38">
        <f>IF($F15="OS-SM-1",$E15,0)</f>
        <v>0</v>
      </c>
      <c r="AH15" s="38">
        <f>IF($F15="OS-SM-1",$E15,0)</f>
        <v>0</v>
      </c>
      <c r="AI15" s="38">
        <f>IF($F15="OS-SM-1",$E15,0)</f>
        <v>0</v>
      </c>
      <c r="AJ15" s="38">
        <f>IF($F15="OS-SM-1",$E15,0)</f>
        <v>0</v>
      </c>
      <c r="AK15" s="38">
        <v>45</v>
      </c>
      <c r="AL15" s="38">
        <f>IF($F15="OS-SM-1",$E15,0)</f>
        <v>0</v>
      </c>
      <c r="AM15" s="38">
        <f>IF($F15="OS-SM-1",$E15,0)</f>
        <v>0</v>
      </c>
      <c r="AN15" s="38">
        <f>IF($F15="OS-SM-1",$E15,0)</f>
        <v>0</v>
      </c>
      <c r="AO15" s="38">
        <f>IF($F15="OS-SM-1",$E15,0)</f>
        <v>0</v>
      </c>
      <c r="AP15" s="38">
        <v>45</v>
      </c>
      <c r="AQ15" s="38">
        <f>IF($F15="OS-SM-1",$E15,0)</f>
        <v>0</v>
      </c>
      <c r="AR15" s="38">
        <f>IF($F15="OS-SM-1",$E15,0)</f>
        <v>0</v>
      </c>
      <c r="AS15" s="38">
        <f>IF($F15="OS-SM-1",$E15,0)</f>
        <v>0</v>
      </c>
      <c r="AT15" s="38">
        <v>45</v>
      </c>
      <c r="AU15" s="38">
        <f>IF($F15="OS-SM-1",$E15,0)</f>
        <v>0</v>
      </c>
      <c r="AV15" s="38">
        <v>45</v>
      </c>
      <c r="AW15" s="38">
        <f>IF($F15="OS-SM-1",$E15,0)</f>
        <v>0</v>
      </c>
      <c r="AX15" s="38">
        <f>IF($F15="OS-SM-1",$E15,0)</f>
        <v>0</v>
      </c>
      <c r="AY15" s="38">
        <v>45</v>
      </c>
      <c r="AZ15" s="38">
        <f>IF($F15="OS-SM-1",$E15,0)</f>
        <v>0</v>
      </c>
      <c r="BA15" s="38">
        <f>IF($F15="OS-SM-1",$E15,0)</f>
        <v>0</v>
      </c>
      <c r="BB15" s="38">
        <f>IF($F15="OS-SM-1",$E15,0)</f>
        <v>0</v>
      </c>
      <c r="BC15" s="38">
        <f>IF($F15="OS-SM-1",$E15,0)</f>
        <v>0</v>
      </c>
      <c r="BD15" s="38">
        <f>IF($F15="OS-SM-1",$E15,0)</f>
        <v>0</v>
      </c>
      <c r="BE15" s="38">
        <f>IF($F15="OS-SM-1",$E15,0)</f>
        <v>0</v>
      </c>
      <c r="BF15" s="38">
        <f>IF($F15="OS-SM-1",$E15,0)</f>
        <v>0</v>
      </c>
      <c r="BG15" s="38">
        <f>IF($F15="PC-UPC-652-2",$E15,0)</f>
        <v>0</v>
      </c>
      <c r="BH15" s="38">
        <f>IF($F15="PC-APC/UPC-652-A1",$E15,0)</f>
        <v>0</v>
      </c>
      <c r="BI15" s="38">
        <f>IF($F15="OS-SM-1",$E15,0)</f>
        <v>0</v>
      </c>
      <c r="BJ15" s="38">
        <f>IF($F15="ODC-C-144",$E15,0)</f>
        <v>0</v>
      </c>
      <c r="BK15" s="38">
        <f>IF($F15="ODC-C-288",1,0)</f>
        <v>0</v>
      </c>
      <c r="BL15" s="38">
        <f>IF($F15="ODC-PROT-144",1,0)</f>
        <v>0</v>
      </c>
      <c r="BM15" s="38">
        <f>IF($F15="ODC-PROT-288",1,0)</f>
        <v>0</v>
      </c>
      <c r="BN15" s="38">
        <f>IF($F15="ODP-CA-8",1,0)</f>
        <v>0</v>
      </c>
      <c r="BO15" s="38">
        <f>IF($F15="ODP-CA-16",1,0)</f>
        <v>0</v>
      </c>
      <c r="BP15" s="38">
        <f>IF($F15="ODP-A-8",1,0)</f>
        <v>0</v>
      </c>
      <c r="BQ15" s="38">
        <f>IF($F15="ODP-Solid-PB-8",1,0)</f>
        <v>0</v>
      </c>
      <c r="BR15" s="38">
        <f>IF($F15="ODP-Solid-PB-16",1,0)</f>
        <v>0</v>
      </c>
      <c r="BS15" s="38">
        <f>IF($F15="ODP-Solid-PB-8 AS",1,0)</f>
        <v>0</v>
      </c>
      <c r="BT15" s="38">
        <f>IF($F15="ODP-Solid-PB-16 AS",1,0)</f>
        <v>0</v>
      </c>
      <c r="BU15" s="38">
        <f>IF($F15="ODP-PL-16",1,0)</f>
        <v>0</v>
      </c>
      <c r="BV15" s="38">
        <f>IF($F15="TC-SM-12",1,0)</f>
        <v>0</v>
      </c>
      <c r="BW15" s="38">
        <f>IF($F15="TC-SM-12",1,0)</f>
        <v>0</v>
      </c>
      <c r="BX15" s="38">
        <f>IF($F15="TC-SM-48",1,0)</f>
        <v>0</v>
      </c>
      <c r="BY15" s="38">
        <f>IF($F15="TC-SM-96",1,0)</f>
        <v>0</v>
      </c>
      <c r="BZ15" s="38">
        <f>IF($F15="TC-SM-96",1,0)</f>
        <v>0</v>
      </c>
      <c r="CA15" s="38">
        <f>IF($F15="TC-SM-96",1,0)</f>
        <v>0</v>
      </c>
      <c r="CB15" s="38">
        <f>IF($F15="TC-SM-96",1,0)</f>
        <v>0</v>
      </c>
      <c r="CC15" s="38">
        <f>IF($F15="TC-SM-96",1,0)</f>
        <v>0</v>
      </c>
      <c r="CD15" s="38">
        <f>IF($F15="TC-SM-96",1,0)</f>
        <v>0</v>
      </c>
      <c r="CE15" s="38">
        <f>IF($F15="TC-SM-144",1,0)</f>
        <v>0</v>
      </c>
      <c r="CF15" s="38">
        <f>IF($F15="PS-1-4-ODC",$E15,0)</f>
        <v>0</v>
      </c>
      <c r="CG15" s="38">
        <f>IF($F15="PS-1-8-ODP",$E15,0)</f>
        <v>0</v>
      </c>
      <c r="CH15" s="38">
        <f>IF($F15="PS-1-16-ODP",1,0)</f>
        <v>0</v>
      </c>
      <c r="CI15" s="38">
        <f>IF($F15="TC-SM-96",1,0)</f>
        <v>0</v>
      </c>
      <c r="CJ15" s="38">
        <f>IF($F15="TC-SM-96",1,0)</f>
        <v>0</v>
      </c>
      <c r="CK15" s="38">
        <f>IF($F15="SITAC",1,0)</f>
        <v>0</v>
      </c>
      <c r="CL15" s="38">
        <f>IF($F15="PU-S7.0-140",1,0)</f>
        <v>0</v>
      </c>
      <c r="CM15" s="38">
        <f>IF($F15="PU-S7.0-400NM ",1,0)</f>
        <v>0</v>
      </c>
      <c r="CN15" s="38">
        <f>IF($F15="PU-S9.0-140",1,0)</f>
        <v>0</v>
      </c>
      <c r="CO15" s="38"/>
      <c r="CP15" s="38"/>
      <c r="CQ15" s="38"/>
      <c r="CR15" s="38">
        <f>IF($F15="PU-AS-SC",1,0)</f>
        <v>0</v>
      </c>
      <c r="CS15" s="38">
        <f>IF($F15="PU-AS-HL",1,0)</f>
        <v>0</v>
      </c>
      <c r="CT15" s="38">
        <f>IF($F15="STAINLESS BELT",1,0)</f>
        <v>0</v>
      </c>
      <c r="CU15" s="38">
        <f>IF($F15="PU-AS",1,0)</f>
        <v>0</v>
      </c>
      <c r="CV15" s="38">
        <f>IF($F15="GB-G1",1,0)</f>
        <v>0</v>
      </c>
      <c r="CW15" s="38">
        <f>IF($F15="GB-G3",1,0)</f>
        <v>0</v>
      </c>
      <c r="CX15" s="38"/>
      <c r="CY15" s="38">
        <f>IF($F15="TC-02-ODC",$E15,0)</f>
        <v>0</v>
      </c>
      <c r="CZ15" s="38">
        <f>IF($F15="tc-02-odc",1,0)</f>
        <v>0</v>
      </c>
      <c r="DA15" s="38">
        <f>IF($F15="tc-02-odc",1,0)</f>
        <v>0</v>
      </c>
      <c r="DB15" s="38">
        <f>IF($F15="tc-02-odc",1,0)</f>
        <v>0</v>
      </c>
      <c r="DC15" s="38">
        <f>IF($F15="tc-02-odc",1,0)</f>
        <v>0</v>
      </c>
      <c r="DD15" s="38">
        <f>IF($F15="tc-02-odc",1,0)</f>
        <v>0</v>
      </c>
      <c r="DE15" s="38">
        <f>IF($F15="tc-02-odc",1,0)</f>
        <v>0</v>
      </c>
      <c r="DF15" s="38">
        <f>IF($F15="tc-02-odc",1,0)</f>
        <v>0</v>
      </c>
      <c r="DG15" s="38">
        <f>IF($F15="tc-02-odc",1,0)</f>
        <v>0</v>
      </c>
      <c r="DH15" s="38">
        <f>IF($F15="tc-02-odc",1,0)</f>
        <v>0</v>
      </c>
      <c r="DI15" s="38">
        <f>IF($F15="tc-02-odc",1,0)</f>
        <v>0</v>
      </c>
      <c r="DJ15" s="38">
        <f>IF($F15="tc-02-odc",1,0)</f>
        <v>0</v>
      </c>
      <c r="DK15" s="38">
        <f>IF($F15="tc-02-odc",1,0)</f>
        <v>0</v>
      </c>
      <c r="DL15" s="38">
        <f>IF($F15="tc-02-odc",1,0)</f>
        <v>0</v>
      </c>
      <c r="DM15" s="38">
        <f>IF($F15="tc-02-odc",1,0)</f>
        <v>0</v>
      </c>
      <c r="DN15" s="38">
        <f>IF($F15="tc-02-odc",1,0)</f>
        <v>0</v>
      </c>
      <c r="DO15" s="38">
        <f>IF($F15="tc-02-odc",1,0)</f>
        <v>0</v>
      </c>
      <c r="DP15" s="38">
        <f>IF($F15="tc-02-odc",1,0)</f>
        <v>0</v>
      </c>
      <c r="DQ15" s="38">
        <f>IF($F15="tc-02-odc",1,0)</f>
        <v>0</v>
      </c>
      <c r="DR15" s="38">
        <f>IF($F15="tc-02-odc",1,0)</f>
        <v>0</v>
      </c>
      <c r="DS15" s="38">
        <f>IF($F15="tc-02-odc",1,0)</f>
        <v>0</v>
      </c>
      <c r="DT15" s="38">
        <f>IF($F15="tc-02-odc",1,0)</f>
        <v>0</v>
      </c>
      <c r="DU15" s="38">
        <f>IF($F15="tc-02-odc",1,0)</f>
        <v>0</v>
      </c>
      <c r="DV15" s="38">
        <f>IF($F15="tc-02-odc",1,0)</f>
        <v>0</v>
      </c>
      <c r="DW15" s="38">
        <f>IF($F15="tc-02-odc",1,0)</f>
        <v>0</v>
      </c>
      <c r="DX15" s="38">
        <f>IF($F15="tc-02-odc",1,0)</f>
        <v>0</v>
      </c>
      <c r="DY15" s="38">
        <f>IF($F15="tc-02-odc",1,0)</f>
        <v>0</v>
      </c>
      <c r="DZ15" s="38">
        <f>IF($F15="tc-02-odc",1,0)</f>
        <v>0</v>
      </c>
      <c r="EA15" s="38">
        <f>IF($F15="tc-02-odc",1,0)</f>
        <v>0</v>
      </c>
      <c r="EB15" s="38">
        <f>IF($F15="tc-02-odc",1,0)</f>
        <v>0</v>
      </c>
      <c r="EC15" s="38">
        <f>IF($F15="tc-02-odc",1,0)</f>
        <v>0</v>
      </c>
      <c r="ED15" s="38">
        <f>IF($F15="tc-02-odc",1,0)</f>
        <v>0</v>
      </c>
      <c r="EE15" s="38">
        <f>IF($F15="DCD-PVC-1",1,0)</f>
        <v>0</v>
      </c>
      <c r="EF15" s="38">
        <f>IF($F15="tc-02-odc",1,0)</f>
        <v>0</v>
      </c>
      <c r="EG15" s="38">
        <f>IF($F15="tc-02-odc",1,0)</f>
        <v>0</v>
      </c>
      <c r="EH15" s="38">
        <f>IF($F15="tc-02-odc",1,0)</f>
        <v>0</v>
      </c>
      <c r="EI15" s="38">
        <f>IF($F15="tc-02-odc",1,0)</f>
        <v>0</v>
      </c>
      <c r="EJ15" s="38">
        <f>IF($F15="tc-02-odc",1,0)</f>
        <v>0</v>
      </c>
      <c r="EK15" s="38">
        <f>IF($F15="tc-02-odc",1,0)</f>
        <v>0</v>
      </c>
      <c r="EL15" s="38">
        <f>IF($F15="tc-02-odc",1,0)</f>
        <v>0</v>
      </c>
      <c r="EM15" s="38">
        <f>IF($F15="tc-02-odc",1,0)</f>
        <v>0</v>
      </c>
      <c r="EN15" s="38">
        <f>IF($F15="DD-HDPE-40-1",$E15,0)</f>
        <v>0</v>
      </c>
      <c r="EO15" s="38">
        <f>IF($F15="DD-HDPE-40-1",$E15,0)</f>
        <v>0</v>
      </c>
      <c r="EP15" s="38">
        <f>IF($F15="DD-HDPE-50-1",$E15,0)</f>
        <v>0</v>
      </c>
      <c r="EQ15" s="38"/>
      <c r="ER15" s="38"/>
      <c r="ES15" s="38"/>
      <c r="ET15" s="38"/>
      <c r="EU15" s="38"/>
      <c r="EV15" s="38"/>
      <c r="EW15" s="38"/>
      <c r="EX15" s="38"/>
      <c r="EY15" s="38"/>
      <c r="EZ15" s="38"/>
      <c r="FA15" s="38"/>
      <c r="FB15" s="38"/>
      <c r="FC15" s="38"/>
      <c r="FD15" s="38"/>
      <c r="FE15" s="38"/>
      <c r="FF15" s="94"/>
      <c r="FG15" s="94"/>
      <c r="FH15" s="94"/>
      <c r="FI15" s="94"/>
      <c r="FJ15" s="94"/>
      <c r="FK15" s="94"/>
      <c r="FL15" s="94"/>
      <c r="FM15" s="94"/>
      <c r="FN15" s="94"/>
      <c r="FO15" s="94"/>
      <c r="FP15" s="94"/>
      <c r="FQ15" s="94"/>
      <c r="FR15" s="94"/>
      <c r="FS15" s="94"/>
      <c r="FT15" s="94"/>
      <c r="FU15" s="94"/>
      <c r="FV15" s="94"/>
      <c r="FW15" s="94"/>
      <c r="FX15" s="94"/>
      <c r="FY15" s="94"/>
      <c r="FZ15" s="94"/>
      <c r="GA15" s="94"/>
      <c r="GB15" s="94"/>
      <c r="GC15" s="94"/>
      <c r="GD15" s="94"/>
      <c r="GE15" s="94"/>
      <c r="GF15" s="94"/>
      <c r="GG15" s="94"/>
      <c r="GH15" s="94"/>
      <c r="GI15" s="94"/>
      <c r="GJ15" s="94"/>
      <c r="GK15" s="94"/>
      <c r="GL15" s="94"/>
      <c r="GM15" s="94"/>
      <c r="GN15" s="94"/>
      <c r="GO15" s="94"/>
      <c r="GP15" s="94"/>
      <c r="GQ15" s="94"/>
      <c r="GR15" s="94"/>
      <c r="GS15" s="94"/>
      <c r="GT15" s="94"/>
      <c r="GU15" s="94"/>
      <c r="GV15" s="94"/>
      <c r="GW15" s="94"/>
      <c r="GX15" s="94"/>
      <c r="GY15" s="94"/>
      <c r="GZ15" s="94"/>
      <c r="HA15" s="76"/>
      <c r="HB15" s="77"/>
      <c r="HC15" s="74"/>
    </row>
    <row r="16" spans="1:212" customHeight="1" ht="17.25" s="4" customFormat="1">
      <c r="A16" s="63"/>
      <c r="B16" s="31"/>
      <c r="C16" s="88"/>
      <c r="D16" s="88"/>
      <c r="E16" s="92"/>
      <c r="F16" s="93"/>
      <c r="G16" s="37">
        <f>IF($F16="SLACK-12CORE",$E16,0)</f>
        <v>0</v>
      </c>
      <c r="H16" s="37">
        <f>IF($F16="Slack Support HH",1,0)</f>
        <v>0</v>
      </c>
      <c r="I16" s="38">
        <f>IF($F16="SLACK-24CORE",$E16,0)</f>
        <v>0</v>
      </c>
      <c r="J16" s="38">
        <f>IF($F16="SLACK-48CORE",$E16,0)</f>
        <v>0</v>
      </c>
      <c r="K16" s="38">
        <f>IF($F16="SLACK-96CORE",$E16,0)</f>
        <v>0</v>
      </c>
      <c r="L16" s="38">
        <f>IF($F16="Slack Support HH",$E16,0)</f>
        <v>0</v>
      </c>
      <c r="M16" s="38">
        <f>IF($F16="HH-PIT-80",1,0)</f>
        <v>0</v>
      </c>
      <c r="N16" s="38">
        <f>IF($F16="AC-OF-SM-12D",$E16,0)</f>
        <v>0</v>
      </c>
      <c r="O16" s="38">
        <f>IF($F16="AC-OF-SM-24D",$E16,0)</f>
        <v>0</v>
      </c>
      <c r="P16" s="38">
        <f>IF($F16="AC-OF-SM-48D",$E16,0)</f>
        <v>0</v>
      </c>
      <c r="Q16" s="38">
        <f>IF($F16="AC-OF-SM-96D",$E16,0)</f>
        <v>0</v>
      </c>
      <c r="R16" s="38">
        <f>IF($F16="AC-OF-SM-ADSS-12D",$E16,0)</f>
        <v>0</v>
      </c>
      <c r="S16" s="38">
        <f>IF($F16="AC-OF-SM-12-SC",$E16,0)</f>
        <v>0</v>
      </c>
      <c r="T16" s="38">
        <f>IF($F16="AC-OF-SM-24-SC",$E16,0)</f>
        <v>0</v>
      </c>
      <c r="U16" s="38">
        <f>IF($F16="AC-OF-SM-48-SC",$E16,0)</f>
        <v>0</v>
      </c>
      <c r="V16" s="38">
        <f>IF($F16="AC-OF-SM-96-SC",$E16,0)</f>
        <v>0</v>
      </c>
      <c r="W16" s="38">
        <f>IF($F16="DC-OF-SM-144D",$E16,0)</f>
        <v>0</v>
      </c>
      <c r="X16" s="38">
        <f>IF($F16="DC-OF-SM-288D",$E16,0)</f>
        <v>0</v>
      </c>
      <c r="Y16" s="38">
        <f>IF($F16="AC-OF-SM-12-SC",$E16,0)</f>
        <v>0</v>
      </c>
      <c r="Z16" s="38">
        <f>IF($F16="SC-OF-SM-12",1,0)</f>
        <v>0</v>
      </c>
      <c r="AA16" s="38">
        <f>IF($F16="SC-OF-SM-12",1,0)</f>
        <v>0</v>
      </c>
      <c r="AB16" s="38">
        <f>IF($F16="SC-OF-SM-12",1,0)</f>
        <v>0</v>
      </c>
      <c r="AC16" s="38">
        <f>IF($F16="SC-OF-SM-12",1,0)</f>
        <v>0</v>
      </c>
      <c r="AD16" s="38">
        <f>IF($F16="SC-OF-SM-12",1,0)</f>
        <v>0</v>
      </c>
      <c r="AE16" s="38">
        <f>IF($F16="SC-OF-SM-24",1,0)</f>
        <v>0</v>
      </c>
      <c r="AF16" s="38">
        <f>IF($F16="OS-SM-1",$E16,0)</f>
        <v>0</v>
      </c>
      <c r="AG16" s="38">
        <f>IF($F16="OS-SM-1",$E16,0)</f>
        <v>0</v>
      </c>
      <c r="AH16" s="38">
        <f>IF($F16="OS-SM-1",$E16,0)</f>
        <v>0</v>
      </c>
      <c r="AI16" s="38">
        <f>IF($F16="OS-SM-1",$E16,0)</f>
        <v>0</v>
      </c>
      <c r="AJ16" s="38">
        <f>IF($F16="OS-SM-1",$E16,0)</f>
        <v>0</v>
      </c>
      <c r="AK16" s="38">
        <v>43</v>
      </c>
      <c r="AL16" s="38">
        <f>IF($F16="OS-SM-1",$E16,0)</f>
        <v>0</v>
      </c>
      <c r="AM16" s="38">
        <f>IF($F16="OS-SM-1",$E16,0)</f>
        <v>0</v>
      </c>
      <c r="AN16" s="38">
        <f>IF($F16="OS-SM-1",$E16,0)</f>
        <v>0</v>
      </c>
      <c r="AO16" s="38">
        <f>IF($F16="OS-SM-1",$E16,0)</f>
        <v>0</v>
      </c>
      <c r="AP16" s="38">
        <v>43</v>
      </c>
      <c r="AQ16" s="38">
        <f>IF($F16="OS-SM-1",$E16,0)</f>
        <v>0</v>
      </c>
      <c r="AR16" s="38">
        <f>IF($F16="OS-SM-1",$E16,0)</f>
        <v>0</v>
      </c>
      <c r="AS16" s="38">
        <f>IF($F16="OS-SM-1",$E16,0)</f>
        <v>0</v>
      </c>
      <c r="AT16" s="38">
        <v>43</v>
      </c>
      <c r="AU16" s="38">
        <f>IF($F16="OS-SM-1",$E16,0)</f>
        <v>0</v>
      </c>
      <c r="AV16" s="38">
        <v>43</v>
      </c>
      <c r="AW16" s="38">
        <f>IF($F16="OS-SM-1",$E16,0)</f>
        <v>0</v>
      </c>
      <c r="AX16" s="38">
        <f>IF($F16="OS-SM-1",$E16,0)</f>
        <v>0</v>
      </c>
      <c r="AY16" s="38">
        <v>43</v>
      </c>
      <c r="AZ16" s="38">
        <f>IF($F16="OS-SM-1",$E16,0)</f>
        <v>0</v>
      </c>
      <c r="BA16" s="38">
        <f>IF($F16="OS-SM-1",$E16,0)</f>
        <v>0</v>
      </c>
      <c r="BB16" s="38">
        <f>IF($F16="OS-SM-1",$E16,0)</f>
        <v>0</v>
      </c>
      <c r="BC16" s="38">
        <f>IF($F16="OS-SM-1",$E16,0)</f>
        <v>0</v>
      </c>
      <c r="BD16" s="38">
        <f>IF($F16="OS-SM-1",$E16,0)</f>
        <v>0</v>
      </c>
      <c r="BE16" s="38">
        <f>IF($F16="OS-SM-1",$E16,0)</f>
        <v>0</v>
      </c>
      <c r="BF16" s="38">
        <f>IF($F16="OS-SM-1",$E16,0)</f>
        <v>0</v>
      </c>
      <c r="BG16" s="38">
        <f>IF($F16="PC-UPC-652-2",$E16,0)</f>
        <v>0</v>
      </c>
      <c r="BH16" s="38">
        <f>IF($F16="PC-APC/UPC-652-A1",$E16,0)</f>
        <v>0</v>
      </c>
      <c r="BI16" s="38">
        <f>IF($F16="OS-SM-1",$E16,0)</f>
        <v>0</v>
      </c>
      <c r="BJ16" s="38">
        <f>IF($F16="ODC-C-144",$E16,0)</f>
        <v>0</v>
      </c>
      <c r="BK16" s="38">
        <f>IF($F16="ODC-C-288",1,0)</f>
        <v>0</v>
      </c>
      <c r="BL16" s="38">
        <f>IF($F16="ODC-PROT-144",1,0)</f>
        <v>0</v>
      </c>
      <c r="BM16" s="38">
        <f>IF($F16="ODC-PROT-288",1,0)</f>
        <v>0</v>
      </c>
      <c r="BN16" s="38">
        <f>IF($F16="ODP-CA-8",1,0)</f>
        <v>0</v>
      </c>
      <c r="BO16" s="38">
        <f>IF($F16="ODP-CA-16",1,0)</f>
        <v>0</v>
      </c>
      <c r="BP16" s="38">
        <f>IF($F16="ODP-A-8",1,0)</f>
        <v>0</v>
      </c>
      <c r="BQ16" s="38">
        <f>IF($F16="ODP-Solid-PB-8",1,0)</f>
        <v>0</v>
      </c>
      <c r="BR16" s="38">
        <f>IF($F16="ODP-Solid-PB-16",1,0)</f>
        <v>0</v>
      </c>
      <c r="BS16" s="38">
        <f>IF($F16="ODP-Solid-PB-8 AS",1,0)</f>
        <v>0</v>
      </c>
      <c r="BT16" s="38">
        <f>IF($F16="ODP-Solid-PB-16 AS",1,0)</f>
        <v>0</v>
      </c>
      <c r="BU16" s="38">
        <f>IF($F16="ODP-PL-16",1,0)</f>
        <v>0</v>
      </c>
      <c r="BV16" s="38">
        <f>IF($F16="TC-SM-12",1,0)</f>
        <v>0</v>
      </c>
      <c r="BW16" s="38">
        <f>IF($F16="TC-SM-12",1,0)</f>
        <v>0</v>
      </c>
      <c r="BX16" s="38">
        <f>IF($F16="TC-SM-48",1,0)</f>
        <v>0</v>
      </c>
      <c r="BY16" s="38">
        <f>IF($F16="TC-SM-96",1,0)</f>
        <v>0</v>
      </c>
      <c r="BZ16" s="38">
        <f>IF($F16="TC-SM-96",1,0)</f>
        <v>0</v>
      </c>
      <c r="CA16" s="38">
        <f>IF($F16="TC-SM-96",1,0)</f>
        <v>0</v>
      </c>
      <c r="CB16" s="38">
        <f>IF($F16="TC-SM-96",1,0)</f>
        <v>0</v>
      </c>
      <c r="CC16" s="38">
        <f>IF($F16="TC-SM-96",1,0)</f>
        <v>0</v>
      </c>
      <c r="CD16" s="38">
        <f>IF($F16="TC-SM-96",1,0)</f>
        <v>0</v>
      </c>
      <c r="CE16" s="38">
        <f>IF($F16="TC-SM-144",1,0)</f>
        <v>0</v>
      </c>
      <c r="CF16" s="38">
        <f>IF($F16="PS-1-4-ODC",$E16,0)</f>
        <v>0</v>
      </c>
      <c r="CG16" s="38">
        <f>IF($F16="PS-1-8-ODP",$E16,0)</f>
        <v>0</v>
      </c>
      <c r="CH16" s="38">
        <f>IF($F16="PS-1-16-ODP",1,0)</f>
        <v>0</v>
      </c>
      <c r="CI16" s="38">
        <f>IF($F16="TC-SM-96",1,0)</f>
        <v>0</v>
      </c>
      <c r="CJ16" s="38">
        <f>IF($F16="TC-SM-96",1,0)</f>
        <v>0</v>
      </c>
      <c r="CK16" s="38">
        <f>IF($F16="SITAC",1,0)</f>
        <v>0</v>
      </c>
      <c r="CL16" s="38">
        <f>IF($F16="PU-S7.0-140",1,0)</f>
        <v>0</v>
      </c>
      <c r="CM16" s="38">
        <f>IF($F16="PU-S7.0-400NM ",1,0)</f>
        <v>0</v>
      </c>
      <c r="CN16" s="38">
        <f>IF($F16="PU-S9.0-140",1,0)</f>
        <v>0</v>
      </c>
      <c r="CO16" s="38"/>
      <c r="CP16" s="38"/>
      <c r="CQ16" s="38"/>
      <c r="CR16" s="38">
        <f>IF($F16="PU-AS-SC",1,0)</f>
        <v>0</v>
      </c>
      <c r="CS16" s="38">
        <f>IF($F16="PU-AS-HL",1,0)</f>
        <v>0</v>
      </c>
      <c r="CT16" s="38">
        <f>IF($F16="STAINLESS BELT",2,0)</f>
        <v>0</v>
      </c>
      <c r="CU16" s="38">
        <f>IF($F16="PU-AS",1,0)</f>
        <v>0</v>
      </c>
      <c r="CV16" s="38">
        <f>IF($F16="GB-G1",1,0)</f>
        <v>0</v>
      </c>
      <c r="CW16" s="38">
        <f>IF($F16="GB-G3",1,0)</f>
        <v>0</v>
      </c>
      <c r="CX16" s="38"/>
      <c r="CY16" s="38">
        <f>IF($F16="TC-02-ODC",$E16,0)</f>
        <v>0</v>
      </c>
      <c r="CZ16" s="38">
        <f>IF($F16="tc-02-odc",1,0)</f>
        <v>0</v>
      </c>
      <c r="DA16" s="38">
        <f>IF($F16="tc-02-odc",1,0)</f>
        <v>0</v>
      </c>
      <c r="DB16" s="38">
        <f>IF($F16="tc-02-odc",1,0)</f>
        <v>0</v>
      </c>
      <c r="DC16" s="38">
        <f>IF($F16="tc-02-odc",1,0)</f>
        <v>0</v>
      </c>
      <c r="DD16" s="38">
        <f>IF($F16="tc-02-odc",1,0)</f>
        <v>0</v>
      </c>
      <c r="DE16" s="38">
        <f>IF($F16="tc-02-odc",1,0)</f>
        <v>0</v>
      </c>
      <c r="DF16" s="38">
        <f>IF($F16="tc-02-odc",1,0)</f>
        <v>0</v>
      </c>
      <c r="DG16" s="38">
        <f>IF($F16="tc-02-odc",1,0)</f>
        <v>0</v>
      </c>
      <c r="DH16" s="38">
        <f>IF($F16="tc-02-odc",1,0)</f>
        <v>0</v>
      </c>
      <c r="DI16" s="38">
        <f>IF($F16="tc-02-odc",1,0)</f>
        <v>0</v>
      </c>
      <c r="DJ16" s="38">
        <f>IF($F16="tc-02-odc",1,0)</f>
        <v>0</v>
      </c>
      <c r="DK16" s="38">
        <f>IF($F16="tc-02-odc",1,0)</f>
        <v>0</v>
      </c>
      <c r="DL16" s="38">
        <f>IF($F16="tc-02-odc",1,0)</f>
        <v>0</v>
      </c>
      <c r="DM16" s="38">
        <f>IF($F16="tc-02-odc",1,0)</f>
        <v>0</v>
      </c>
      <c r="DN16" s="38">
        <f>IF($F16="tc-02-odc",1,0)</f>
        <v>0</v>
      </c>
      <c r="DO16" s="38">
        <f>IF($F16="tc-02-odc",1,0)</f>
        <v>0</v>
      </c>
      <c r="DP16" s="38">
        <f>IF($F16="tc-02-odc",1,0)</f>
        <v>0</v>
      </c>
      <c r="DQ16" s="38">
        <f>IF($F16="tc-02-odc",1,0)</f>
        <v>0</v>
      </c>
      <c r="DR16" s="38">
        <f>IF($F16="tc-02-odc",1,0)</f>
        <v>0</v>
      </c>
      <c r="DS16" s="38">
        <f>IF($F16="tc-02-odc",1,0)</f>
        <v>0</v>
      </c>
      <c r="DT16" s="38">
        <f>IF($F16="tc-02-odc",1,0)</f>
        <v>0</v>
      </c>
      <c r="DU16" s="38">
        <f>IF($F16="tc-02-odc",1,0)</f>
        <v>0</v>
      </c>
      <c r="DV16" s="38">
        <f>IF($F16="tc-02-odc",1,0)</f>
        <v>0</v>
      </c>
      <c r="DW16" s="38">
        <f>IF($F16="tc-02-odc",1,0)</f>
        <v>0</v>
      </c>
      <c r="DX16" s="38">
        <f>IF($F16="tc-02-odc",1,0)</f>
        <v>0</v>
      </c>
      <c r="DY16" s="38">
        <f>IF($F16="tc-02-odc",1,0)</f>
        <v>0</v>
      </c>
      <c r="DZ16" s="38">
        <f>IF($F16="tc-02-odc",1,0)</f>
        <v>0</v>
      </c>
      <c r="EA16" s="38">
        <f>IF($F16="tc-02-odc",1,0)</f>
        <v>0</v>
      </c>
      <c r="EB16" s="38">
        <f>IF($F16="tc-02-odc",1,0)</f>
        <v>0</v>
      </c>
      <c r="EC16" s="38">
        <f>IF($F16="tc-02-odc",1,0)</f>
        <v>0</v>
      </c>
      <c r="ED16" s="38">
        <f>IF($F16="tc-02-odc",1,0)</f>
        <v>0</v>
      </c>
      <c r="EE16" s="38">
        <f>IF($F16="DCD-PVC-1",1,0)</f>
        <v>0</v>
      </c>
      <c r="EF16" s="38">
        <f>IF($F16="tc-02-odc",1,0)</f>
        <v>0</v>
      </c>
      <c r="EG16" s="38">
        <f>IF($F16="tc-02-odc",1,0)</f>
        <v>0</v>
      </c>
      <c r="EH16" s="38">
        <f>IF($F16="tc-02-odc",1,0)</f>
        <v>0</v>
      </c>
      <c r="EI16" s="38">
        <f>IF($F16="tc-02-odc",1,0)</f>
        <v>0</v>
      </c>
      <c r="EJ16" s="38">
        <f>IF($F16="tc-02-odc",1,0)</f>
        <v>0</v>
      </c>
      <c r="EK16" s="38">
        <f>IF($F16="tc-02-odc",1,0)</f>
        <v>0</v>
      </c>
      <c r="EL16" s="38">
        <f>IF($F16="tc-02-odc",1,0)</f>
        <v>0</v>
      </c>
      <c r="EM16" s="38">
        <f>IF($F16="tc-02-odc",1,0)</f>
        <v>0</v>
      </c>
      <c r="EN16" s="38">
        <f>IF($F16="DD-HDPE-40-1",$E16,0)</f>
        <v>0</v>
      </c>
      <c r="EO16" s="38">
        <f>IF($F16="DD-HDPE-40-1",$E16,0)</f>
        <v>0</v>
      </c>
      <c r="EP16" s="38">
        <f>IF($F16="DD-HDPE-50-1",$E16,0)</f>
        <v>0</v>
      </c>
      <c r="EQ16" s="38"/>
      <c r="ER16" s="38"/>
      <c r="ES16" s="38"/>
      <c r="ET16" s="38"/>
      <c r="EU16" s="38"/>
      <c r="EV16" s="38"/>
      <c r="EW16" s="38"/>
      <c r="EX16" s="38"/>
      <c r="EY16" s="38"/>
      <c r="EZ16" s="38"/>
      <c r="FA16" s="38"/>
      <c r="FB16" s="38"/>
      <c r="FC16" s="38"/>
      <c r="FD16" s="38"/>
      <c r="FE16" s="38"/>
      <c r="FF16" s="94"/>
      <c r="FG16" s="94"/>
      <c r="FH16" s="94"/>
      <c r="FI16" s="94"/>
      <c r="FJ16" s="94"/>
      <c r="FK16" s="94"/>
      <c r="FL16" s="94"/>
      <c r="FM16" s="94"/>
      <c r="FN16" s="94"/>
      <c r="FO16" s="94"/>
      <c r="FP16" s="94"/>
      <c r="FQ16" s="94"/>
      <c r="FR16" s="94"/>
      <c r="FS16" s="94"/>
      <c r="FT16" s="94"/>
      <c r="FU16" s="94"/>
      <c r="FV16" s="94"/>
      <c r="FW16" s="94"/>
      <c r="FX16" s="94"/>
      <c r="FY16" s="94"/>
      <c r="FZ16" s="94"/>
      <c r="GA16" s="94"/>
      <c r="GB16" s="94"/>
      <c r="GC16" s="94"/>
      <c r="GD16" s="94"/>
      <c r="GE16" s="94"/>
      <c r="GF16" s="94"/>
      <c r="GG16" s="94"/>
      <c r="GH16" s="94"/>
      <c r="GI16" s="94"/>
      <c r="GJ16" s="94"/>
      <c r="GK16" s="94"/>
      <c r="GL16" s="94"/>
      <c r="GM16" s="94"/>
      <c r="GN16" s="94"/>
      <c r="GO16" s="94"/>
      <c r="GP16" s="94"/>
      <c r="GQ16" s="94"/>
      <c r="GR16" s="94"/>
      <c r="GS16" s="94"/>
      <c r="GT16" s="94"/>
      <c r="GU16" s="94"/>
      <c r="GV16" s="94"/>
      <c r="GW16" s="94"/>
      <c r="GX16" s="94"/>
      <c r="GY16" s="94"/>
      <c r="GZ16" s="94"/>
      <c r="HA16" s="76"/>
      <c r="HB16" s="77"/>
      <c r="HC16" s="74"/>
    </row>
    <row r="17" spans="1:212" customHeight="1" ht="17.25" s="4" customFormat="1">
      <c r="A17" s="63"/>
      <c r="B17" s="31"/>
      <c r="C17" s="88"/>
      <c r="D17" s="88"/>
      <c r="E17" s="92"/>
      <c r="F17" s="93"/>
      <c r="G17" s="37">
        <f>IF($F17="SLACK-12CORE",$E17,0)</f>
        <v>0</v>
      </c>
      <c r="H17" s="37">
        <f>IF($F17="Slack Support HH",1,0)</f>
        <v>0</v>
      </c>
      <c r="I17" s="38">
        <f>IF($F17="SLACK-24CORE",$E17,0)</f>
        <v>0</v>
      </c>
      <c r="J17" s="38">
        <f>IF($F17="SLACK-48CORE",$E17,0)</f>
        <v>0</v>
      </c>
      <c r="K17" s="38">
        <f>IF($F17="SLACK-96CORE",$E17,0)</f>
        <v>0</v>
      </c>
      <c r="L17" s="38">
        <f>IF($F17="Slack Support HH",$E17,0)</f>
        <v>0</v>
      </c>
      <c r="M17" s="38">
        <f>IF($F17="HH-PIT-80",1,0)</f>
        <v>0</v>
      </c>
      <c r="N17" s="38">
        <f>IF($F17="AC-OF-SM-12D",$E17,0)</f>
        <v>0</v>
      </c>
      <c r="O17" s="38">
        <f>IF($F17="AC-OF-SM-24D",$E17,0)</f>
        <v>0</v>
      </c>
      <c r="P17" s="38">
        <f>IF($F17="AC-OF-SM-48D",$E17,0)</f>
        <v>0</v>
      </c>
      <c r="Q17" s="38">
        <f>IF($F17="AC-OF-SM-96D",$E17,0)</f>
        <v>0</v>
      </c>
      <c r="R17" s="38">
        <f>IF($F17="AC-OF-SM-ADSS-12D",$E17,0)</f>
        <v>0</v>
      </c>
      <c r="S17" s="38">
        <f>IF($F17="AC-OF-SM-12-SC",$E17,0)</f>
        <v>0</v>
      </c>
      <c r="T17" s="38">
        <f>IF($F17="AC-OF-SM-24-SC",$E17,0)</f>
        <v>0</v>
      </c>
      <c r="U17" s="38">
        <f>IF($F17="AC-OF-SM-48-SC",$E17,0)</f>
        <v>0</v>
      </c>
      <c r="V17" s="38">
        <f>IF($F17="AC-OF-SM-96-SC",$E17,0)</f>
        <v>0</v>
      </c>
      <c r="W17" s="38">
        <f>IF($F17="DC-OF-SM-144D",$E17,0)</f>
        <v>0</v>
      </c>
      <c r="X17" s="38">
        <f>IF($F17="DC-OF-SM-288D",$E17,0)</f>
        <v>0</v>
      </c>
      <c r="Y17" s="38">
        <f>IF($F17="AC-OF-SM-12-SC",$E17,0)</f>
        <v>0</v>
      </c>
      <c r="Z17" s="38">
        <f>IF($F17="SC-OF-SM-12",1,0)</f>
        <v>0</v>
      </c>
      <c r="AA17" s="38">
        <f>IF($F17="SC-OF-SM-12",1,0)</f>
        <v>0</v>
      </c>
      <c r="AB17" s="38">
        <f>IF($F17="SC-OF-SM-12",1,0)</f>
        <v>0</v>
      </c>
      <c r="AC17" s="38">
        <f>IF($F17="SC-OF-SM-12",1,0)</f>
        <v>0</v>
      </c>
      <c r="AD17" s="38">
        <f>IF($F17="SC-OF-SM-12",1,0)</f>
        <v>0</v>
      </c>
      <c r="AE17" s="38">
        <f>IF($F17="SC-OF-SM-24",1,0)</f>
        <v>0</v>
      </c>
      <c r="AF17" s="38">
        <f>IF($F17="OS-SM-1",$E17,0)</f>
        <v>0</v>
      </c>
      <c r="AG17" s="38">
        <f>IF($F17="OS-SM-1",$E17,0)</f>
        <v>0</v>
      </c>
      <c r="AH17" s="38">
        <f>IF($F17="OS-SM-1",$E17,0)</f>
        <v>0</v>
      </c>
      <c r="AI17" s="38">
        <f>IF($F17="OS-SM-1",$E17,0)</f>
        <v>0</v>
      </c>
      <c r="AJ17" s="38">
        <f>IF($F17="OS-SM-1",$E17,0)</f>
        <v>0</v>
      </c>
      <c r="AK17" s="38">
        <v>43</v>
      </c>
      <c r="AL17" s="38">
        <f>IF($F17="OS-SM-1",$E17,0)</f>
        <v>0</v>
      </c>
      <c r="AM17" s="38">
        <f>IF($F17="OS-SM-1",$E17,0)</f>
        <v>0</v>
      </c>
      <c r="AN17" s="38">
        <f>IF($F17="OS-SM-1",$E17,0)</f>
        <v>0</v>
      </c>
      <c r="AO17" s="38">
        <f>IF($F17="OS-SM-1",$E17,0)</f>
        <v>0</v>
      </c>
      <c r="AP17" s="38">
        <v>43</v>
      </c>
      <c r="AQ17" s="38">
        <f>IF($F17="OS-SM-1",$E17,0)</f>
        <v>0</v>
      </c>
      <c r="AR17" s="38">
        <f>IF($F17="OS-SM-1",$E17,0)</f>
        <v>0</v>
      </c>
      <c r="AS17" s="38">
        <f>IF($F17="OS-SM-1",$E17,0)</f>
        <v>0</v>
      </c>
      <c r="AT17" s="38">
        <v>43</v>
      </c>
      <c r="AU17" s="38">
        <f>IF($F17="OS-SM-1",$E17,0)</f>
        <v>0</v>
      </c>
      <c r="AV17" s="38">
        <v>43</v>
      </c>
      <c r="AW17" s="38">
        <f>IF($F17="OS-SM-1",$E17,0)</f>
        <v>0</v>
      </c>
      <c r="AX17" s="38">
        <f>IF($F17="OS-SM-1",$E17,0)</f>
        <v>0</v>
      </c>
      <c r="AY17" s="38">
        <v>43</v>
      </c>
      <c r="AZ17" s="38">
        <f>IF($F17="OS-SM-1",$E17,0)</f>
        <v>0</v>
      </c>
      <c r="BA17" s="38">
        <f>IF($F17="OS-SM-1",$E17,0)</f>
        <v>0</v>
      </c>
      <c r="BB17" s="38">
        <f>IF($F17="OS-SM-1",$E17,0)</f>
        <v>0</v>
      </c>
      <c r="BC17" s="38">
        <f>IF($F17="OS-SM-1",$E17,0)</f>
        <v>0</v>
      </c>
      <c r="BD17" s="38">
        <f>IF($F17="OS-SM-1",$E17,0)</f>
        <v>0</v>
      </c>
      <c r="BE17" s="38">
        <f>IF($F17="OS-SM-1",$E17,0)</f>
        <v>0</v>
      </c>
      <c r="BF17" s="38">
        <f>IF($F17="OS-SM-1",$E17,0)</f>
        <v>0</v>
      </c>
      <c r="BG17" s="38">
        <f>IF($F17="PC-UPC-652-2",$E17,0)</f>
        <v>0</v>
      </c>
      <c r="BH17" s="38">
        <f>IF($F17="PC-APC/UPC-652-A1",$E17,0)</f>
        <v>0</v>
      </c>
      <c r="BI17" s="38">
        <f>IF($F17="OS-SM-1",$E17,0)</f>
        <v>0</v>
      </c>
      <c r="BJ17" s="38">
        <f>IF($F17="ODC-C-144",$E17,0)</f>
        <v>0</v>
      </c>
      <c r="BK17" s="38">
        <f>IF($F17="ODC-C-288",1,0)</f>
        <v>0</v>
      </c>
      <c r="BL17" s="38">
        <f>IF($F17="ODC-PROT-144",1,0)</f>
        <v>0</v>
      </c>
      <c r="BM17" s="38">
        <f>IF($F17="ODC-PROT-288",1,0)</f>
        <v>0</v>
      </c>
      <c r="BN17" s="38">
        <f>IF($F17="ODP-CA-8",1,0)</f>
        <v>0</v>
      </c>
      <c r="BO17" s="38">
        <f>IF($F17="ODP-CA-16",1,0)</f>
        <v>0</v>
      </c>
      <c r="BP17" s="38">
        <f>IF($F17="ODP-A-8",1,0)</f>
        <v>0</v>
      </c>
      <c r="BQ17" s="38">
        <f>IF($F17="ODP-Solid-PB-8",1,0)</f>
        <v>0</v>
      </c>
      <c r="BR17" s="38">
        <f>IF($F17="ODP-Solid-PB-16",1,0)</f>
        <v>0</v>
      </c>
      <c r="BS17" s="38">
        <f>IF($F17="ODP-Solid-PB-8 AS",1,0)</f>
        <v>0</v>
      </c>
      <c r="BT17" s="38">
        <f>IF($F17="ODP-Solid-PB-16 AS",1,0)</f>
        <v>0</v>
      </c>
      <c r="BU17" s="38">
        <f>IF($F17="ODP-PL-16",1,0)</f>
        <v>0</v>
      </c>
      <c r="BV17" s="38">
        <f>IF($F17="TC-SM-12",1,0)</f>
        <v>0</v>
      </c>
      <c r="BW17" s="38">
        <f>IF($F17="TC-SM-12",1,0)</f>
        <v>0</v>
      </c>
      <c r="BX17" s="38">
        <f>IF($F17="TC-SM-48",1,0)</f>
        <v>0</v>
      </c>
      <c r="BY17" s="38">
        <f>IF($F17="TC-SM-96",1,0)</f>
        <v>0</v>
      </c>
      <c r="BZ17" s="38">
        <f>IF($F17="TC-SM-96",1,0)</f>
        <v>0</v>
      </c>
      <c r="CA17" s="38">
        <f>IF($F17="TC-SM-96",1,0)</f>
        <v>0</v>
      </c>
      <c r="CB17" s="38">
        <f>IF($F17="TC-SM-96",1,0)</f>
        <v>0</v>
      </c>
      <c r="CC17" s="38">
        <f>IF($F17="TC-SM-96",1,0)</f>
        <v>0</v>
      </c>
      <c r="CD17" s="38">
        <f>IF($F17="TC-SM-96",1,0)</f>
        <v>0</v>
      </c>
      <c r="CE17" s="38">
        <f>IF($F17="TC-SM-144",1,0)</f>
        <v>0</v>
      </c>
      <c r="CF17" s="38">
        <f>IF($F17="PS-1-4-ODC",$E17,0)</f>
        <v>0</v>
      </c>
      <c r="CG17" s="38">
        <f>IF($F17="PS-1-8-ODP",$E17,0)</f>
        <v>0</v>
      </c>
      <c r="CH17" s="38">
        <f>IF($F17="PS-1-16-ODP",1,0)</f>
        <v>0</v>
      </c>
      <c r="CI17" s="38">
        <f>IF($F17="TC-SM-96",1,0)</f>
        <v>0</v>
      </c>
      <c r="CJ17" s="38">
        <f>IF($F17="TC-SM-96",1,0)</f>
        <v>0</v>
      </c>
      <c r="CK17" s="38">
        <f>IF($F17="SITAC",1,0)</f>
        <v>0</v>
      </c>
      <c r="CL17" s="38">
        <f>IF($F17="PU-S7.0-140",1,0)</f>
        <v>0</v>
      </c>
      <c r="CM17" s="38">
        <f>IF($F17="PU-S7.0-400NM ",1,0)</f>
        <v>0</v>
      </c>
      <c r="CN17" s="38">
        <f>IF($F17="PU-S9.0-140",1,0)</f>
        <v>0</v>
      </c>
      <c r="CO17" s="38"/>
      <c r="CP17" s="38"/>
      <c r="CQ17" s="38"/>
      <c r="CR17" s="38">
        <f>IF($F17="PU-AS-SC",1,0)</f>
        <v>0</v>
      </c>
      <c r="CS17" s="38">
        <f>IF($F17="PU-AS-HL",2,0)</f>
        <v>0</v>
      </c>
      <c r="CT17" s="38">
        <f>IF($F17="STAINLESS BELT",2,0)</f>
        <v>0</v>
      </c>
      <c r="CU17" s="38">
        <f>IF($F17="PU-AS",1,0)</f>
        <v>0</v>
      </c>
      <c r="CV17" s="38">
        <f>IF($F17="GB-G1",1,0)</f>
        <v>0</v>
      </c>
      <c r="CW17" s="38">
        <f>IF($F17="GB-G3",1,0)</f>
        <v>0</v>
      </c>
      <c r="CX17" s="38"/>
      <c r="CY17" s="38">
        <f>IF($F17="TC-02-ODC",$E17,0)</f>
        <v>0</v>
      </c>
      <c r="CZ17" s="38">
        <f>IF($F17="tc-02-odc",1,0)</f>
        <v>0</v>
      </c>
      <c r="DA17" s="38">
        <f>IF($F17="tc-02-odc",1,0)</f>
        <v>0</v>
      </c>
      <c r="DB17" s="38">
        <f>IF($F17="tc-02-odc",1,0)</f>
        <v>0</v>
      </c>
      <c r="DC17" s="38">
        <f>IF($F17="tc-02-odc",1,0)</f>
        <v>0</v>
      </c>
      <c r="DD17" s="38">
        <f>IF($F17="tc-02-odc",1,0)</f>
        <v>0</v>
      </c>
      <c r="DE17" s="38">
        <f>IF($F17="tc-02-odc",1,0)</f>
        <v>0</v>
      </c>
      <c r="DF17" s="38">
        <f>IF($F17="tc-02-odc",1,0)</f>
        <v>0</v>
      </c>
      <c r="DG17" s="38">
        <f>IF($F17="tc-02-odc",1,0)</f>
        <v>0</v>
      </c>
      <c r="DH17" s="38">
        <f>IF($F17="tc-02-odc",1,0)</f>
        <v>0</v>
      </c>
      <c r="DI17" s="38">
        <f>IF($F17="tc-02-odc",1,0)</f>
        <v>0</v>
      </c>
      <c r="DJ17" s="38">
        <f>IF($F17="tc-02-odc",1,0)</f>
        <v>0</v>
      </c>
      <c r="DK17" s="38">
        <f>IF($F17="tc-02-odc",1,0)</f>
        <v>0</v>
      </c>
      <c r="DL17" s="38">
        <f>IF($F17="tc-02-odc",1,0)</f>
        <v>0</v>
      </c>
      <c r="DM17" s="38">
        <f>IF($F17="tc-02-odc",1,0)</f>
        <v>0</v>
      </c>
      <c r="DN17" s="38">
        <f>IF($F17="tc-02-odc",1,0)</f>
        <v>0</v>
      </c>
      <c r="DO17" s="38">
        <f>IF($F17="tc-02-odc",1,0)</f>
        <v>0</v>
      </c>
      <c r="DP17" s="38">
        <f>IF($F17="tc-02-odc",1,0)</f>
        <v>0</v>
      </c>
      <c r="DQ17" s="38">
        <f>IF($F17="tc-02-odc",1,0)</f>
        <v>0</v>
      </c>
      <c r="DR17" s="38">
        <f>IF($F17="tc-02-odc",1,0)</f>
        <v>0</v>
      </c>
      <c r="DS17" s="38">
        <f>IF($F17="tc-02-odc",1,0)</f>
        <v>0</v>
      </c>
      <c r="DT17" s="38">
        <f>IF($F17="tc-02-odc",1,0)</f>
        <v>0</v>
      </c>
      <c r="DU17" s="38">
        <f>IF($F17="tc-02-odc",1,0)</f>
        <v>0</v>
      </c>
      <c r="DV17" s="38">
        <f>IF($F17="tc-02-odc",1,0)</f>
        <v>0</v>
      </c>
      <c r="DW17" s="38">
        <f>IF($F17="tc-02-odc",1,0)</f>
        <v>0</v>
      </c>
      <c r="DX17" s="38">
        <f>IF($F17="tc-02-odc",1,0)</f>
        <v>0</v>
      </c>
      <c r="DY17" s="38">
        <f>IF($F17="tc-02-odc",1,0)</f>
        <v>0</v>
      </c>
      <c r="DZ17" s="38">
        <f>IF($F17="tc-02-odc",1,0)</f>
        <v>0</v>
      </c>
      <c r="EA17" s="38">
        <f>IF($F17="tc-02-odc",1,0)</f>
        <v>0</v>
      </c>
      <c r="EB17" s="38">
        <f>IF($F17="tc-02-odc",1,0)</f>
        <v>0</v>
      </c>
      <c r="EC17" s="38">
        <f>IF($F17="tc-02-odc",1,0)</f>
        <v>0</v>
      </c>
      <c r="ED17" s="38">
        <f>IF($F17="tc-02-odc",1,0)</f>
        <v>0</v>
      </c>
      <c r="EE17" s="38">
        <f>IF($F17="DCD-PVC-1",1,0)</f>
        <v>0</v>
      </c>
      <c r="EF17" s="38">
        <f>IF($F17="tc-02-odc",1,0)</f>
        <v>0</v>
      </c>
      <c r="EG17" s="38">
        <f>IF($F17="tc-02-odc",1,0)</f>
        <v>0</v>
      </c>
      <c r="EH17" s="38">
        <f>IF($F17="tc-02-odc",1,0)</f>
        <v>0</v>
      </c>
      <c r="EI17" s="38">
        <f>IF($F17="tc-02-odc",1,0)</f>
        <v>0</v>
      </c>
      <c r="EJ17" s="38">
        <f>IF($F17="tc-02-odc",1,0)</f>
        <v>0</v>
      </c>
      <c r="EK17" s="38">
        <f>IF($F17="tc-02-odc",1,0)</f>
        <v>0</v>
      </c>
      <c r="EL17" s="38">
        <f>IF($F17="tc-02-odc",1,0)</f>
        <v>0</v>
      </c>
      <c r="EM17" s="38">
        <f>IF($F17="tc-02-odc",1,0)</f>
        <v>0</v>
      </c>
      <c r="EN17" s="38">
        <f>IF($F17="DD-HDPE-40-1",$E17,0)</f>
        <v>0</v>
      </c>
      <c r="EO17" s="38">
        <f>IF($F17="DD-HDPE-40-1",$E17,0)</f>
        <v>0</v>
      </c>
      <c r="EP17" s="38">
        <f>IF($F17="DD-HDPE-50-1",$E17,0)</f>
        <v>0</v>
      </c>
      <c r="EQ17" s="38"/>
      <c r="ER17" s="38"/>
      <c r="ES17" s="38"/>
      <c r="ET17" s="38"/>
      <c r="EU17" s="38"/>
      <c r="EV17" s="38"/>
      <c r="EW17" s="38"/>
      <c r="EX17" s="38"/>
      <c r="EY17" s="38"/>
      <c r="EZ17" s="38"/>
      <c r="FA17" s="38"/>
      <c r="FB17" s="38"/>
      <c r="FC17" s="38"/>
      <c r="FD17" s="38"/>
      <c r="FE17" s="38"/>
      <c r="FF17" s="94"/>
      <c r="FG17" s="94"/>
      <c r="FH17" s="94"/>
      <c r="FI17" s="94"/>
      <c r="FJ17" s="94"/>
      <c r="FK17" s="94"/>
      <c r="FL17" s="94"/>
      <c r="FM17" s="94"/>
      <c r="FN17" s="94"/>
      <c r="FO17" s="94"/>
      <c r="FP17" s="94"/>
      <c r="FQ17" s="94"/>
      <c r="FR17" s="94"/>
      <c r="FS17" s="94"/>
      <c r="FT17" s="94"/>
      <c r="FU17" s="94"/>
      <c r="FV17" s="94"/>
      <c r="FW17" s="94"/>
      <c r="FX17" s="94"/>
      <c r="FY17" s="94"/>
      <c r="FZ17" s="94"/>
      <c r="GA17" s="94"/>
      <c r="GB17" s="94"/>
      <c r="GC17" s="94"/>
      <c r="GD17" s="94"/>
      <c r="GE17" s="94"/>
      <c r="GF17" s="94"/>
      <c r="GG17" s="94"/>
      <c r="GH17" s="94"/>
      <c r="GI17" s="94"/>
      <c r="GJ17" s="94"/>
      <c r="GK17" s="94"/>
      <c r="GL17" s="94"/>
      <c r="GM17" s="94"/>
      <c r="GN17" s="94"/>
      <c r="GO17" s="94"/>
      <c r="GP17" s="94"/>
      <c r="GQ17" s="94"/>
      <c r="GR17" s="94"/>
      <c r="GS17" s="94"/>
      <c r="GT17" s="94"/>
      <c r="GU17" s="94"/>
      <c r="GV17" s="94"/>
      <c r="GW17" s="94"/>
      <c r="GX17" s="94"/>
      <c r="GY17" s="94"/>
      <c r="GZ17" s="94"/>
      <c r="HA17" s="76"/>
      <c r="HB17" s="77"/>
      <c r="HC17" s="74"/>
    </row>
    <row r="18" spans="1:212" customHeight="1" ht="17.25" s="4" customFormat="1">
      <c r="A18" s="63"/>
      <c r="B18" s="31"/>
      <c r="C18" s="88"/>
      <c r="D18" s="88"/>
      <c r="E18" s="92"/>
      <c r="F18" s="93"/>
      <c r="G18" s="37">
        <f>IF($F18="SLACK-12CORE",$E18,0)</f>
        <v>0</v>
      </c>
      <c r="H18" s="37">
        <f>IF($F18="Slack Support HH",1,0)</f>
        <v>0</v>
      </c>
      <c r="I18" s="38">
        <f>IF($F18="SLACK-24CORE",$E18,0)</f>
        <v>0</v>
      </c>
      <c r="J18" s="38">
        <f>IF($F18="SLACK-48CORE",$E18,0)</f>
        <v>0</v>
      </c>
      <c r="K18" s="38">
        <f>IF($F18="SLACK-96CORE",$E18,0)</f>
        <v>0</v>
      </c>
      <c r="L18" s="38">
        <f>IF($F18="Slack Support HH",$E18,0)</f>
        <v>0</v>
      </c>
      <c r="M18" s="38">
        <f>IF($F18="HH-PIT-80",1,0)</f>
        <v>0</v>
      </c>
      <c r="N18" s="38">
        <f>IF($F18="AC-OF-SM-12D",$E18,0)</f>
        <v>0</v>
      </c>
      <c r="O18" s="38">
        <f>IF($F18="AC-OF-SM-24D",$E18,0)</f>
        <v>0</v>
      </c>
      <c r="P18" s="38">
        <f>IF($F18="AC-OF-SM-48D",$E18,0)</f>
        <v>0</v>
      </c>
      <c r="Q18" s="38">
        <f>IF($F18="AC-OF-SM-96D",$E18,0)</f>
        <v>0</v>
      </c>
      <c r="R18" s="38">
        <f>IF($F18="AC-OF-SM-ADSS-12D",$E18,0)</f>
        <v>0</v>
      </c>
      <c r="S18" s="38">
        <f>IF($F18="AC-OF-SM-12-SC",$E18,0)</f>
        <v>0</v>
      </c>
      <c r="T18" s="38">
        <f>IF($F18="AC-OF-SM-24-SC",$E18,0)</f>
        <v>0</v>
      </c>
      <c r="U18" s="38">
        <f>IF($F18="AC-OF-SM-48-SC",$E18,0)</f>
        <v>0</v>
      </c>
      <c r="V18" s="38">
        <f>IF($F18="AC-OF-SM-96-SC",$E18,0)</f>
        <v>0</v>
      </c>
      <c r="W18" s="38">
        <f>IF($F18="DC-OF-SM-144D",$E18,0)</f>
        <v>0</v>
      </c>
      <c r="X18" s="38">
        <f>IF($F18="DC-OF-SM-288D",$E18,0)</f>
        <v>0</v>
      </c>
      <c r="Y18" s="38">
        <f>IF($F18="AC-OF-SM-12-SC",$E18,0)</f>
        <v>0</v>
      </c>
      <c r="Z18" s="38">
        <f>IF($F18="SC-OF-SM-12",1,0)</f>
        <v>0</v>
      </c>
      <c r="AA18" s="38">
        <f>IF($F18="SC-OF-SM-12",1,0)</f>
        <v>0</v>
      </c>
      <c r="AB18" s="38">
        <f>IF($F18="SC-OF-SM-12",1,0)</f>
        <v>0</v>
      </c>
      <c r="AC18" s="38">
        <f>IF($F18="SC-OF-SM-12",1,0)</f>
        <v>0</v>
      </c>
      <c r="AD18" s="38">
        <f>IF($F18="SC-OF-SM-12",1,0)</f>
        <v>0</v>
      </c>
      <c r="AE18" s="38">
        <f>IF($F18="SC-OF-SM-24",1,0)</f>
        <v>0</v>
      </c>
      <c r="AF18" s="38">
        <f>IF($F18="OS-SM-1",$E18,0)</f>
        <v>0</v>
      </c>
      <c r="AG18" s="38">
        <f>IF($F18="OS-SM-1",$E18,0)</f>
        <v>0</v>
      </c>
      <c r="AH18" s="38">
        <f>IF($F18="OS-SM-1",$E18,0)</f>
        <v>0</v>
      </c>
      <c r="AI18" s="38">
        <f>IF($F18="OS-SM-1",$E18,0)</f>
        <v>0</v>
      </c>
      <c r="AJ18" s="38">
        <f>IF($F18="OS-SM-1",$E18,0)</f>
        <v>0</v>
      </c>
      <c r="AK18" s="38">
        <v>45</v>
      </c>
      <c r="AL18" s="38">
        <f>IF($F18="OS-SM-1",$E18,0)</f>
        <v>0</v>
      </c>
      <c r="AM18" s="38">
        <f>IF($F18="OS-SM-1",$E18,0)</f>
        <v>0</v>
      </c>
      <c r="AN18" s="38">
        <f>IF($F18="OS-SM-1",$E18,0)</f>
        <v>0</v>
      </c>
      <c r="AO18" s="38">
        <f>IF($F18="OS-SM-1",$E18,0)</f>
        <v>0</v>
      </c>
      <c r="AP18" s="38">
        <v>45</v>
      </c>
      <c r="AQ18" s="38">
        <f>IF($F18="OS-SM-1",$E18,0)</f>
        <v>0</v>
      </c>
      <c r="AR18" s="38">
        <f>IF($F18="OS-SM-1",$E18,0)</f>
        <v>0</v>
      </c>
      <c r="AS18" s="38">
        <f>IF($F18="OS-SM-1",$E18,0)</f>
        <v>0</v>
      </c>
      <c r="AT18" s="38">
        <v>45</v>
      </c>
      <c r="AU18" s="38">
        <f>IF($F18="OS-SM-1",$E18,0)</f>
        <v>0</v>
      </c>
      <c r="AV18" s="38">
        <v>45</v>
      </c>
      <c r="AW18" s="38">
        <f>IF($F18="OS-SM-1",$E18,0)</f>
        <v>0</v>
      </c>
      <c r="AX18" s="38">
        <f>IF($F18="OS-SM-1",$E18,0)</f>
        <v>0</v>
      </c>
      <c r="AY18" s="38">
        <v>45</v>
      </c>
      <c r="AZ18" s="38">
        <f>IF($F18="OS-SM-1",$E18,0)</f>
        <v>0</v>
      </c>
      <c r="BA18" s="38">
        <f>IF($F18="OS-SM-1",$E18,0)</f>
        <v>0</v>
      </c>
      <c r="BB18" s="38">
        <f>IF($F18="OS-SM-1",$E18,0)</f>
        <v>0</v>
      </c>
      <c r="BC18" s="38">
        <f>IF($F18="OS-SM-1",$E18,0)</f>
        <v>0</v>
      </c>
      <c r="BD18" s="38">
        <f>IF($F18="OS-SM-1",$E18,0)</f>
        <v>0</v>
      </c>
      <c r="BE18" s="38">
        <f>IF($F18="OS-SM-1",$E18,0)</f>
        <v>0</v>
      </c>
      <c r="BF18" s="38">
        <f>IF($F18="OS-SM-1",$E18,0)</f>
        <v>0</v>
      </c>
      <c r="BG18" s="38">
        <f>IF($F18="PC-UPC-652-2",$E18,0)</f>
        <v>0</v>
      </c>
      <c r="BH18" s="38">
        <f>IF($F18="PC-APC/UPC-652-A1",$E18,0)</f>
        <v>0</v>
      </c>
      <c r="BI18" s="38">
        <f>IF($F18="OS-SM-1",$E18,0)</f>
        <v>0</v>
      </c>
      <c r="BJ18" s="38">
        <f>IF($F18="ODC-C-144",$E18,0)</f>
        <v>0</v>
      </c>
      <c r="BK18" s="38">
        <f>IF($F18="ODC-C-288",1,0)</f>
        <v>0</v>
      </c>
      <c r="BL18" s="38">
        <f>IF($F18="ODC-PROT-144",1,0)</f>
        <v>0</v>
      </c>
      <c r="BM18" s="38">
        <f>IF($F18="ODC-PROT-288",1,0)</f>
        <v>0</v>
      </c>
      <c r="BN18" s="38">
        <f>IF($F18="ODP-CA-8",1,0)</f>
        <v>0</v>
      </c>
      <c r="BO18" s="38">
        <f>IF($F18="ODP-CA-16",1,0)</f>
        <v>0</v>
      </c>
      <c r="BP18" s="38">
        <f>IF($F18="ODP-A-8",1,0)</f>
        <v>0</v>
      </c>
      <c r="BQ18" s="38">
        <f>IF($F18="ODP-Solid-PB-8",1,0)</f>
        <v>0</v>
      </c>
      <c r="BR18" s="38">
        <f>IF($F18="ODP-Solid-PB-16",1,0)</f>
        <v>0</v>
      </c>
      <c r="BS18" s="38">
        <f>IF($F18="ODP-Solid-PB-8 AS",1,0)</f>
        <v>0</v>
      </c>
      <c r="BT18" s="38">
        <f>IF($F18="ODP-Solid-PB-16 AS",1,0)</f>
        <v>0</v>
      </c>
      <c r="BU18" s="38">
        <f>IF($F18="ODP-PL-16",1,0)</f>
        <v>0</v>
      </c>
      <c r="BV18" s="38">
        <f>IF($F18="TC-SM-12",1,0)</f>
        <v>0</v>
      </c>
      <c r="BW18" s="38">
        <f>IF($F18="TC-SM-12",1,0)</f>
        <v>0</v>
      </c>
      <c r="BX18" s="38">
        <f>IF($F18="TC-SM-48",1,0)</f>
        <v>0</v>
      </c>
      <c r="BY18" s="38">
        <f>IF($F18="TC-SM-96",1,0)</f>
        <v>0</v>
      </c>
      <c r="BZ18" s="38">
        <f>IF($F18="TC-SM-96",1,0)</f>
        <v>0</v>
      </c>
      <c r="CA18" s="38">
        <f>IF($F18="TC-SM-96",1,0)</f>
        <v>0</v>
      </c>
      <c r="CB18" s="38">
        <f>IF($F18="TC-SM-96",1,0)</f>
        <v>0</v>
      </c>
      <c r="CC18" s="38">
        <f>IF($F18="TC-SM-96",1,0)</f>
        <v>0</v>
      </c>
      <c r="CD18" s="38">
        <f>IF($F18="TC-SM-96",1,0)</f>
        <v>0</v>
      </c>
      <c r="CE18" s="38">
        <f>IF($F18="TC-SM-144",1,0)</f>
        <v>0</v>
      </c>
      <c r="CF18" s="38">
        <f>IF($F18="PS-1-4-ODC",$E18,0)</f>
        <v>0</v>
      </c>
      <c r="CG18" s="38">
        <f>IF($F18="PS-1-8-ODP",$E18,0)</f>
        <v>0</v>
      </c>
      <c r="CH18" s="38">
        <f>IF($F18="PS-1-16-ODP",1,0)</f>
        <v>0</v>
      </c>
      <c r="CI18" s="38">
        <f>IF($F18="TC-SM-96",1,0)</f>
        <v>0</v>
      </c>
      <c r="CJ18" s="38">
        <f>IF($F18="TC-SM-96",1,0)</f>
        <v>0</v>
      </c>
      <c r="CK18" s="38">
        <f>IF($F18="SITAC",1,0)</f>
        <v>0</v>
      </c>
      <c r="CL18" s="38">
        <f>IF($F18="PU-S7.0-140",1,0)</f>
        <v>0</v>
      </c>
      <c r="CM18" s="38">
        <f>IF($F18="PU-S7.0-400NM ",1,0)</f>
        <v>0</v>
      </c>
      <c r="CN18" s="38">
        <f>IF($F18="PU-S9.0-140",1,0)</f>
        <v>0</v>
      </c>
      <c r="CO18" s="38"/>
      <c r="CP18" s="38"/>
      <c r="CQ18" s="38"/>
      <c r="CR18" s="38">
        <f>IF($F18="PU-AS-SC",1,0)</f>
        <v>0</v>
      </c>
      <c r="CS18" s="38">
        <f>IF($F18="PU-AS-HL",2,0)</f>
        <v>0</v>
      </c>
      <c r="CT18" s="38">
        <f>IF($F18="STAINLESS BELT",2,0)</f>
        <v>0</v>
      </c>
      <c r="CU18" s="38">
        <f>IF($F18="PU-AS",1,0)</f>
        <v>0</v>
      </c>
      <c r="CV18" s="38">
        <f>IF($F18="GB-G1",1,0)</f>
        <v>0</v>
      </c>
      <c r="CW18" s="38">
        <f>IF($F18="GB-G3",1,0)</f>
        <v>0</v>
      </c>
      <c r="CX18" s="38"/>
      <c r="CY18" s="38">
        <f>IF($F18="TC-02-ODC",$E18,0)</f>
        <v>0</v>
      </c>
      <c r="CZ18" s="38">
        <f>IF($F18="tc-02-odc",1,0)</f>
        <v>0</v>
      </c>
      <c r="DA18" s="38">
        <f>IF($F18="tc-02-odc",1,0)</f>
        <v>0</v>
      </c>
      <c r="DB18" s="38">
        <f>IF($F18="tc-02-odc",1,0)</f>
        <v>0</v>
      </c>
      <c r="DC18" s="38">
        <f>IF($F18="tc-02-odc",1,0)</f>
        <v>0</v>
      </c>
      <c r="DD18" s="38">
        <f>IF($F18="tc-02-odc",1,0)</f>
        <v>0</v>
      </c>
      <c r="DE18" s="38">
        <f>IF($F18="tc-02-odc",1,0)</f>
        <v>0</v>
      </c>
      <c r="DF18" s="38">
        <f>IF($F18="tc-02-odc",1,0)</f>
        <v>0</v>
      </c>
      <c r="DG18" s="38">
        <f>IF($F18="tc-02-odc",1,0)</f>
        <v>0</v>
      </c>
      <c r="DH18" s="38">
        <f>IF($F18="tc-02-odc",1,0)</f>
        <v>0</v>
      </c>
      <c r="DI18" s="38">
        <f>IF($F18="tc-02-odc",1,0)</f>
        <v>0</v>
      </c>
      <c r="DJ18" s="38">
        <f>IF($F18="tc-02-odc",1,0)</f>
        <v>0</v>
      </c>
      <c r="DK18" s="38">
        <f>IF($F18="tc-02-odc",1,0)</f>
        <v>0</v>
      </c>
      <c r="DL18" s="38">
        <f>IF($F18="tc-02-odc",1,0)</f>
        <v>0</v>
      </c>
      <c r="DM18" s="38">
        <f>IF($F18="tc-02-odc",1,0)</f>
        <v>0</v>
      </c>
      <c r="DN18" s="38">
        <f>IF($F18="tc-02-odc",1,0)</f>
        <v>0</v>
      </c>
      <c r="DO18" s="38">
        <f>IF($F18="tc-02-odc",1,0)</f>
        <v>0</v>
      </c>
      <c r="DP18" s="38">
        <f>IF($F18="tc-02-odc",1,0)</f>
        <v>0</v>
      </c>
      <c r="DQ18" s="38">
        <f>IF($F18="tc-02-odc",1,0)</f>
        <v>0</v>
      </c>
      <c r="DR18" s="38">
        <f>IF($F18="tc-02-odc",1,0)</f>
        <v>0</v>
      </c>
      <c r="DS18" s="38">
        <f>IF($F18="tc-02-odc",1,0)</f>
        <v>0</v>
      </c>
      <c r="DT18" s="38">
        <f>IF($F18="tc-02-odc",1,0)</f>
        <v>0</v>
      </c>
      <c r="DU18" s="38">
        <f>IF($F18="tc-02-odc",1,0)</f>
        <v>0</v>
      </c>
      <c r="DV18" s="38">
        <f>IF($F18="tc-02-odc",1,0)</f>
        <v>0</v>
      </c>
      <c r="DW18" s="38">
        <f>IF($F18="tc-02-odc",1,0)</f>
        <v>0</v>
      </c>
      <c r="DX18" s="38">
        <f>IF($F18="tc-02-odc",1,0)</f>
        <v>0</v>
      </c>
      <c r="DY18" s="38">
        <f>IF($F18="tc-02-odc",1,0)</f>
        <v>0</v>
      </c>
      <c r="DZ18" s="38">
        <f>IF($F18="tc-02-odc",1,0)</f>
        <v>0</v>
      </c>
      <c r="EA18" s="38">
        <f>IF($F18="tc-02-odc",1,0)</f>
        <v>0</v>
      </c>
      <c r="EB18" s="38">
        <f>IF($F18="tc-02-odc",1,0)</f>
        <v>0</v>
      </c>
      <c r="EC18" s="38">
        <f>IF($F18="tc-02-odc",1,0)</f>
        <v>0</v>
      </c>
      <c r="ED18" s="38">
        <f>IF($F18="tc-02-odc",1,0)</f>
        <v>0</v>
      </c>
      <c r="EE18" s="38">
        <f>IF($F18="DCD-PVC-1",1,0)</f>
        <v>0</v>
      </c>
      <c r="EF18" s="38">
        <f>IF($F18="tc-02-odc",1,0)</f>
        <v>0</v>
      </c>
      <c r="EG18" s="38">
        <f>IF($F18="tc-02-odc",1,0)</f>
        <v>0</v>
      </c>
      <c r="EH18" s="38">
        <f>IF($F18="tc-02-odc",1,0)</f>
        <v>0</v>
      </c>
      <c r="EI18" s="38">
        <f>IF($F18="tc-02-odc",1,0)</f>
        <v>0</v>
      </c>
      <c r="EJ18" s="38">
        <f>IF($F18="tc-02-odc",1,0)</f>
        <v>0</v>
      </c>
      <c r="EK18" s="38">
        <f>IF($F18="tc-02-odc",1,0)</f>
        <v>0</v>
      </c>
      <c r="EL18" s="38">
        <f>IF($F18="tc-02-odc",1,0)</f>
        <v>0</v>
      </c>
      <c r="EM18" s="38">
        <f>IF($F18="tc-02-odc",1,0)</f>
        <v>0</v>
      </c>
      <c r="EN18" s="38">
        <f>IF($F18="DD-HDPE-40-1",$E18,0)</f>
        <v>0</v>
      </c>
      <c r="EO18" s="38">
        <f>IF($F18="DD-HDPE-40-1",$E18,0)</f>
        <v>0</v>
      </c>
      <c r="EP18" s="38">
        <f>IF($F18="DD-HDPE-50-1",$E18,0)</f>
        <v>0</v>
      </c>
      <c r="EQ18" s="38"/>
      <c r="ER18" s="38"/>
      <c r="ES18" s="38"/>
      <c r="ET18" s="38"/>
      <c r="EU18" s="38"/>
      <c r="EV18" s="38"/>
      <c r="EW18" s="38"/>
      <c r="EX18" s="38"/>
      <c r="EY18" s="38"/>
      <c r="EZ18" s="38"/>
      <c r="FA18" s="38"/>
      <c r="FB18" s="38"/>
      <c r="FC18" s="38"/>
      <c r="FD18" s="38"/>
      <c r="FE18" s="38"/>
      <c r="FF18" s="94"/>
      <c r="FG18" s="94"/>
      <c r="FH18" s="94"/>
      <c r="FI18" s="94"/>
      <c r="FJ18" s="94"/>
      <c r="FK18" s="94"/>
      <c r="FL18" s="94"/>
      <c r="FM18" s="94"/>
      <c r="FN18" s="94"/>
      <c r="FO18" s="94"/>
      <c r="FP18" s="94"/>
      <c r="FQ18" s="94"/>
      <c r="FR18" s="94"/>
      <c r="FS18" s="94"/>
      <c r="FT18" s="94"/>
      <c r="FU18" s="94"/>
      <c r="FV18" s="94"/>
      <c r="FW18" s="94"/>
      <c r="FX18" s="94"/>
      <c r="FY18" s="94"/>
      <c r="FZ18" s="94"/>
      <c r="GA18" s="94"/>
      <c r="GB18" s="94"/>
      <c r="GC18" s="94"/>
      <c r="GD18" s="94"/>
      <c r="GE18" s="94"/>
      <c r="GF18" s="94"/>
      <c r="GG18" s="94"/>
      <c r="GH18" s="94"/>
      <c r="GI18" s="94"/>
      <c r="GJ18" s="94"/>
      <c r="GK18" s="94"/>
      <c r="GL18" s="94"/>
      <c r="GM18" s="94"/>
      <c r="GN18" s="94"/>
      <c r="GO18" s="94"/>
      <c r="GP18" s="94"/>
      <c r="GQ18" s="94"/>
      <c r="GR18" s="94"/>
      <c r="GS18" s="94"/>
      <c r="GT18" s="94"/>
      <c r="GU18" s="94"/>
      <c r="GV18" s="94"/>
      <c r="GW18" s="94"/>
      <c r="GX18" s="94"/>
      <c r="GY18" s="94"/>
      <c r="GZ18" s="94"/>
      <c r="HA18" s="76"/>
      <c r="HB18" s="77"/>
      <c r="HC18" s="74"/>
    </row>
    <row r="19" spans="1:212" customHeight="1" ht="17.25" s="4" customFormat="1">
      <c r="A19" s="63"/>
      <c r="B19" s="31"/>
      <c r="C19" s="88"/>
      <c r="D19" s="88"/>
      <c r="E19" s="92"/>
      <c r="F19" s="93"/>
      <c r="G19" s="37">
        <f>IF($F19="SLACK-12CORE",$E19,0)</f>
        <v>0</v>
      </c>
      <c r="H19" s="37">
        <f>IF($F19="Slack Support HH",1,0)</f>
        <v>0</v>
      </c>
      <c r="I19" s="38">
        <f>IF($F19="SLACK-24CORE",$E19,0)</f>
        <v>0</v>
      </c>
      <c r="J19" s="38">
        <f>IF($F19="SLACK-48CORE",$E19,0)</f>
        <v>0</v>
      </c>
      <c r="K19" s="38">
        <f>IF($F19="SLACK-96CORE",$E19,0)</f>
        <v>0</v>
      </c>
      <c r="L19" s="38">
        <f>IF($F19="Slack Support HH",$E19,0)</f>
        <v>0</v>
      </c>
      <c r="M19" s="38">
        <f>IF($F19="HH-PIT-80",1,0)</f>
        <v>0</v>
      </c>
      <c r="N19" s="38">
        <f>IF($F19="AC-OF-SM-12D",$E19,0)</f>
        <v>0</v>
      </c>
      <c r="O19" s="38">
        <f>IF($F19="AC-OF-SM-24D",$E19,0)</f>
        <v>0</v>
      </c>
      <c r="P19" s="38">
        <f>IF($F19="AC-OF-SM-48D",$E19,0)</f>
        <v>0</v>
      </c>
      <c r="Q19" s="38">
        <f>IF($F19="AC-OF-SM-96D",$E19,0)</f>
        <v>0</v>
      </c>
      <c r="R19" s="38">
        <f>IF($F19="AC-OF-SM-ADSS-12D",$E19,0)</f>
        <v>0</v>
      </c>
      <c r="S19" s="38">
        <f>IF($F19="AC-OF-SM-12-SC",$E19,0)</f>
        <v>0</v>
      </c>
      <c r="T19" s="38">
        <f>IF($F19="AC-OF-SM-24-SC",$E19,0)</f>
        <v>0</v>
      </c>
      <c r="U19" s="38">
        <f>IF($F19="AC-OF-SM-48-SC",$E19,0)</f>
        <v>0</v>
      </c>
      <c r="V19" s="38">
        <f>IF($F19="AC-OF-SM-96-SC",$E19,0)</f>
        <v>0</v>
      </c>
      <c r="W19" s="38">
        <f>IF($F19="DC-OF-SM-144D",$E19,0)</f>
        <v>0</v>
      </c>
      <c r="X19" s="38">
        <f>IF($F19="DC-OF-SM-288D",$E19,0)</f>
        <v>0</v>
      </c>
      <c r="Y19" s="38">
        <f>IF($F19="AC-OF-SM-12-SC",$E19,0)</f>
        <v>0</v>
      </c>
      <c r="Z19" s="38">
        <f>IF($F19="SC-OF-SM-12",1,0)</f>
        <v>0</v>
      </c>
      <c r="AA19" s="38">
        <f>IF($F19="SC-OF-SM-12",1,0)</f>
        <v>0</v>
      </c>
      <c r="AB19" s="38">
        <f>IF($F19="SC-OF-SM-12",1,0)</f>
        <v>0</v>
      </c>
      <c r="AC19" s="38">
        <f>IF($F19="SC-OF-SM-12",1,0)</f>
        <v>0</v>
      </c>
      <c r="AD19" s="38">
        <f>IF($F19="SC-OF-SM-12",1,0)</f>
        <v>0</v>
      </c>
      <c r="AE19" s="38">
        <f>IF($F19="SC-OF-SM-24",1,0)</f>
        <v>0</v>
      </c>
      <c r="AF19" s="38">
        <f>IF($F19="OS-SM-1",$E19,0)</f>
        <v>0</v>
      </c>
      <c r="AG19" s="38">
        <f>IF($F19="OS-SM-1",$E19,0)</f>
        <v>0</v>
      </c>
      <c r="AH19" s="38">
        <f>IF($F19="OS-SM-1",$E19,0)</f>
        <v>0</v>
      </c>
      <c r="AI19" s="38">
        <f>IF($F19="OS-SM-1",$E19,0)</f>
        <v>0</v>
      </c>
      <c r="AJ19" s="38">
        <f>IF($F19="OS-SM-1",$E19,0)</f>
        <v>0</v>
      </c>
      <c r="AK19" s="38">
        <v>46</v>
      </c>
      <c r="AL19" s="38">
        <f>IF($F19="OS-SM-1",$E19,0)</f>
        <v>0</v>
      </c>
      <c r="AM19" s="38">
        <f>IF($F19="OS-SM-1",$E19,0)</f>
        <v>0</v>
      </c>
      <c r="AN19" s="38">
        <f>IF($F19="OS-SM-1",$E19,0)</f>
        <v>0</v>
      </c>
      <c r="AO19" s="38">
        <f>IF($F19="OS-SM-1",$E19,0)</f>
        <v>0</v>
      </c>
      <c r="AP19" s="38">
        <v>46</v>
      </c>
      <c r="AQ19" s="38">
        <f>IF($F19="OS-SM-1",$E19,0)</f>
        <v>0</v>
      </c>
      <c r="AR19" s="38">
        <f>IF($F19="OS-SM-1",$E19,0)</f>
        <v>0</v>
      </c>
      <c r="AS19" s="38">
        <f>IF($F19="OS-SM-1",$E19,0)</f>
        <v>0</v>
      </c>
      <c r="AT19" s="38">
        <v>46</v>
      </c>
      <c r="AU19" s="38">
        <f>IF($F19="OS-SM-1",$E19,0)</f>
        <v>0</v>
      </c>
      <c r="AV19" s="38">
        <v>46</v>
      </c>
      <c r="AW19" s="38">
        <f>IF($F19="OS-SM-1",$E19,0)</f>
        <v>0</v>
      </c>
      <c r="AX19" s="38">
        <f>IF($F19="OS-SM-1",$E19,0)</f>
        <v>0</v>
      </c>
      <c r="AY19" s="38">
        <v>46</v>
      </c>
      <c r="AZ19" s="38">
        <f>IF($F19="OS-SM-1",$E19,0)</f>
        <v>0</v>
      </c>
      <c r="BA19" s="38">
        <f>IF($F19="OS-SM-1",$E19,0)</f>
        <v>0</v>
      </c>
      <c r="BB19" s="38">
        <f>IF($F19="OS-SM-1",$E19,0)</f>
        <v>0</v>
      </c>
      <c r="BC19" s="38">
        <f>IF($F19="OS-SM-1",$E19,0)</f>
        <v>0</v>
      </c>
      <c r="BD19" s="38">
        <f>IF($F19="OS-SM-1",$E19,0)</f>
        <v>0</v>
      </c>
      <c r="BE19" s="38">
        <f>IF($F19="OS-SM-1",$E19,0)</f>
        <v>0</v>
      </c>
      <c r="BF19" s="38">
        <f>IF($F19="OS-SM-1",$E19,0)</f>
        <v>0</v>
      </c>
      <c r="BG19" s="38">
        <f>IF($F19="PC-UPC-652-2",$E19,0)</f>
        <v>0</v>
      </c>
      <c r="BH19" s="38">
        <f>IF($F19="PC-APC/UPC-652-A1",$E19,0)</f>
        <v>0</v>
      </c>
      <c r="BI19" s="38">
        <f>IF($F19="OS-SM-1",$E19,0)</f>
        <v>0</v>
      </c>
      <c r="BJ19" s="38">
        <f>IF($F19="ODC-C-144",$E19,0)</f>
        <v>0</v>
      </c>
      <c r="BK19" s="38">
        <f>IF($F19="ODC-C-288",1,0)</f>
        <v>0</v>
      </c>
      <c r="BL19" s="38">
        <f>IF($F19="ODC-PROT-144",1,0)</f>
        <v>0</v>
      </c>
      <c r="BM19" s="38">
        <f>IF($F19="ODC-PROT-288",1,0)</f>
        <v>0</v>
      </c>
      <c r="BN19" s="38">
        <f>IF($F19="ODP-CA-8",1,0)</f>
        <v>0</v>
      </c>
      <c r="BO19" s="38">
        <f>IF($F19="ODP-CA-16",1,0)</f>
        <v>0</v>
      </c>
      <c r="BP19" s="38">
        <f>IF($F19="ODP-A-8",1,0)</f>
        <v>0</v>
      </c>
      <c r="BQ19" s="38">
        <f>IF($F19="ODP-Solid-PB-8",1,0)</f>
        <v>0</v>
      </c>
      <c r="BR19" s="38">
        <f>IF($F19="ODP-Solid-PB-16",1,0)</f>
        <v>0</v>
      </c>
      <c r="BS19" s="38">
        <f>IF($F19="ODP-Solid-PB-8 AS",1,0)</f>
        <v>0</v>
      </c>
      <c r="BT19" s="38">
        <f>IF($F19="ODP-Solid-PB-16 AS",1,0)</f>
        <v>0</v>
      </c>
      <c r="BU19" s="38">
        <f>IF($F19="ODP-PL-16",1,0)</f>
        <v>0</v>
      </c>
      <c r="BV19" s="38">
        <f>IF($F19="TC-SM-12",1,0)</f>
        <v>0</v>
      </c>
      <c r="BW19" s="38">
        <f>IF($F19="TC-SM-12",1,0)</f>
        <v>0</v>
      </c>
      <c r="BX19" s="38">
        <f>IF($F19="TC-SM-48",1,0)</f>
        <v>0</v>
      </c>
      <c r="BY19" s="38">
        <f>IF($F19="TC-SM-96",1,0)</f>
        <v>0</v>
      </c>
      <c r="BZ19" s="38">
        <f>IF($F19="TC-SM-96",1,0)</f>
        <v>0</v>
      </c>
      <c r="CA19" s="38">
        <f>IF($F19="TC-SM-96",1,0)</f>
        <v>0</v>
      </c>
      <c r="CB19" s="38">
        <f>IF($F19="TC-SM-96",1,0)</f>
        <v>0</v>
      </c>
      <c r="CC19" s="38">
        <f>IF($F19="TC-SM-96",1,0)</f>
        <v>0</v>
      </c>
      <c r="CD19" s="38">
        <f>IF($F19="TC-SM-96",1,0)</f>
        <v>0</v>
      </c>
      <c r="CE19" s="38">
        <f>IF($F19="TC-SM-144",1,0)</f>
        <v>0</v>
      </c>
      <c r="CF19" s="38">
        <f>IF($F19="PS-1-4-ODC",$E19,0)</f>
        <v>0</v>
      </c>
      <c r="CG19" s="38">
        <f>IF($F19="PS-1-8-ODP",$E19,0)</f>
        <v>0</v>
      </c>
      <c r="CH19" s="38">
        <f>IF($F19="PS-1-16-ODP",1,0)</f>
        <v>0</v>
      </c>
      <c r="CI19" s="38">
        <f>IF($F19="TC-SM-96",1,0)</f>
        <v>0</v>
      </c>
      <c r="CJ19" s="38">
        <f>IF($F19="TC-SM-96",1,0)</f>
        <v>0</v>
      </c>
      <c r="CK19" s="38">
        <f>IF($F19="SITAC",1,0)</f>
        <v>0</v>
      </c>
      <c r="CL19" s="38">
        <f>IF($F19="PU-S7.0-140",1,0)</f>
        <v>0</v>
      </c>
      <c r="CM19" s="38">
        <f>IF($F19="PU-S7.0-400NM ",1,0)</f>
        <v>0</v>
      </c>
      <c r="CN19" s="38">
        <f>IF($F19="PU-S9.0-140",1,0)</f>
        <v>0</v>
      </c>
      <c r="CO19" s="38"/>
      <c r="CP19" s="38"/>
      <c r="CQ19" s="38"/>
      <c r="CR19" s="38">
        <f>IF($F19="PU-AS-SC",1,0)</f>
        <v>0</v>
      </c>
      <c r="CS19" s="38">
        <f>IF($F19="PU-AS-HL",2,0)</f>
        <v>0</v>
      </c>
      <c r="CT19" s="38">
        <f>IF($F19="STAINLESS BELT",2,0)</f>
        <v>0</v>
      </c>
      <c r="CU19" s="38">
        <f>IF($F19="PU-AS",1,0)</f>
        <v>0</v>
      </c>
      <c r="CV19" s="38">
        <f>IF($F19="GB-G1",1,0)</f>
        <v>0</v>
      </c>
      <c r="CW19" s="38">
        <f>IF($F19="GB-G3",1,0)</f>
        <v>0</v>
      </c>
      <c r="CX19" s="38"/>
      <c r="CY19" s="38">
        <f>IF($F19="TC-02-ODC",$E19,0)</f>
        <v>0</v>
      </c>
      <c r="CZ19" s="38">
        <f>IF($F19="tc-02-odc",1,0)</f>
        <v>0</v>
      </c>
      <c r="DA19" s="38">
        <f>IF($F19="tc-02-odc",1,0)</f>
        <v>0</v>
      </c>
      <c r="DB19" s="38">
        <f>IF($F19="tc-02-odc",1,0)</f>
        <v>0</v>
      </c>
      <c r="DC19" s="38">
        <f>IF($F19="tc-02-odc",1,0)</f>
        <v>0</v>
      </c>
      <c r="DD19" s="38">
        <f>IF($F19="tc-02-odc",1,0)</f>
        <v>0</v>
      </c>
      <c r="DE19" s="38">
        <f>IF($F19="tc-02-odc",1,0)</f>
        <v>0</v>
      </c>
      <c r="DF19" s="38">
        <f>IF($F19="tc-02-odc",1,0)</f>
        <v>0</v>
      </c>
      <c r="DG19" s="38">
        <f>IF($F19="tc-02-odc",1,0)</f>
        <v>0</v>
      </c>
      <c r="DH19" s="38">
        <f>IF($F19="tc-02-odc",1,0)</f>
        <v>0</v>
      </c>
      <c r="DI19" s="38">
        <f>IF($F19="tc-02-odc",1,0)</f>
        <v>0</v>
      </c>
      <c r="DJ19" s="38">
        <f>IF($F19="tc-02-odc",1,0)</f>
        <v>0</v>
      </c>
      <c r="DK19" s="38">
        <f>IF($F19="tc-02-odc",1,0)</f>
        <v>0</v>
      </c>
      <c r="DL19" s="38">
        <f>IF($F19="tc-02-odc",1,0)</f>
        <v>0</v>
      </c>
      <c r="DM19" s="38">
        <f>IF($F19="tc-02-odc",1,0)</f>
        <v>0</v>
      </c>
      <c r="DN19" s="38">
        <f>IF($F19="tc-02-odc",1,0)</f>
        <v>0</v>
      </c>
      <c r="DO19" s="38">
        <f>IF($F19="tc-02-odc",1,0)</f>
        <v>0</v>
      </c>
      <c r="DP19" s="38">
        <f>IF($F19="tc-02-odc",1,0)</f>
        <v>0</v>
      </c>
      <c r="DQ19" s="38">
        <f>IF($F19="tc-02-odc",1,0)</f>
        <v>0</v>
      </c>
      <c r="DR19" s="38">
        <f>IF($F19="tc-02-odc",1,0)</f>
        <v>0</v>
      </c>
      <c r="DS19" s="38">
        <f>IF($F19="tc-02-odc",1,0)</f>
        <v>0</v>
      </c>
      <c r="DT19" s="38">
        <f>IF($F19="tc-02-odc",1,0)</f>
        <v>0</v>
      </c>
      <c r="DU19" s="38">
        <f>IF($F19="tc-02-odc",1,0)</f>
        <v>0</v>
      </c>
      <c r="DV19" s="38">
        <f>IF($F19="tc-02-odc",1,0)</f>
        <v>0</v>
      </c>
      <c r="DW19" s="38">
        <f>IF($F19="tc-02-odc",1,0)</f>
        <v>0</v>
      </c>
      <c r="DX19" s="38">
        <f>IF($F19="tc-02-odc",1,0)</f>
        <v>0</v>
      </c>
      <c r="DY19" s="38">
        <f>IF($F19="tc-02-odc",1,0)</f>
        <v>0</v>
      </c>
      <c r="DZ19" s="38">
        <f>IF($F19="tc-02-odc",1,0)</f>
        <v>0</v>
      </c>
      <c r="EA19" s="38">
        <f>IF($F19="tc-02-odc",1,0)</f>
        <v>0</v>
      </c>
      <c r="EB19" s="38">
        <f>IF($F19="tc-02-odc",1,0)</f>
        <v>0</v>
      </c>
      <c r="EC19" s="38">
        <f>IF($F19="tc-02-odc",1,0)</f>
        <v>0</v>
      </c>
      <c r="ED19" s="38">
        <f>IF($F19="tc-02-odc",1,0)</f>
        <v>0</v>
      </c>
      <c r="EE19" s="38">
        <f>IF($F19="DCD-PVC-1",1,0)</f>
        <v>0</v>
      </c>
      <c r="EF19" s="38">
        <f>IF($F19="tc-02-odc",1,0)</f>
        <v>0</v>
      </c>
      <c r="EG19" s="38">
        <f>IF($F19="tc-02-odc",1,0)</f>
        <v>0</v>
      </c>
      <c r="EH19" s="38">
        <f>IF($F19="tc-02-odc",1,0)</f>
        <v>0</v>
      </c>
      <c r="EI19" s="38">
        <f>IF($F19="tc-02-odc",1,0)</f>
        <v>0</v>
      </c>
      <c r="EJ19" s="38">
        <f>IF($F19="tc-02-odc",1,0)</f>
        <v>0</v>
      </c>
      <c r="EK19" s="38">
        <f>IF($F19="tc-02-odc",1,0)</f>
        <v>0</v>
      </c>
      <c r="EL19" s="38">
        <f>IF($F19="tc-02-odc",1,0)</f>
        <v>0</v>
      </c>
      <c r="EM19" s="38">
        <f>IF($F19="tc-02-odc",1,0)</f>
        <v>0</v>
      </c>
      <c r="EN19" s="38">
        <f>IF($F19="DD-HDPE-40-1",$E19,0)</f>
        <v>0</v>
      </c>
      <c r="EO19" s="38">
        <f>IF($F19="DD-HDPE-40-1",$E19,0)</f>
        <v>0</v>
      </c>
      <c r="EP19" s="38">
        <f>IF($F19="DD-HDPE-50-1",$E19,0)</f>
        <v>0</v>
      </c>
      <c r="EQ19" s="38"/>
      <c r="ER19" s="38"/>
      <c r="ES19" s="38"/>
      <c r="ET19" s="38"/>
      <c r="EU19" s="38"/>
      <c r="EV19" s="38"/>
      <c r="EW19" s="38"/>
      <c r="EX19" s="38"/>
      <c r="EY19" s="38"/>
      <c r="EZ19" s="38"/>
      <c r="FA19" s="38"/>
      <c r="FB19" s="38"/>
      <c r="FC19" s="38"/>
      <c r="FD19" s="38"/>
      <c r="FE19" s="38"/>
      <c r="FF19" s="94"/>
      <c r="FG19" s="94"/>
      <c r="FH19" s="94"/>
      <c r="FI19" s="94"/>
      <c r="FJ19" s="94"/>
      <c r="FK19" s="94"/>
      <c r="FL19" s="94"/>
      <c r="FM19" s="94"/>
      <c r="FN19" s="94"/>
      <c r="FO19" s="94"/>
      <c r="FP19" s="94"/>
      <c r="FQ19" s="94"/>
      <c r="FR19" s="94"/>
      <c r="FS19" s="94"/>
      <c r="FT19" s="94"/>
      <c r="FU19" s="94"/>
      <c r="FV19" s="94"/>
      <c r="FW19" s="94"/>
      <c r="FX19" s="94"/>
      <c r="FY19" s="94"/>
      <c r="FZ19" s="94"/>
      <c r="GA19" s="94"/>
      <c r="GB19" s="94"/>
      <c r="GC19" s="94"/>
      <c r="GD19" s="94"/>
      <c r="GE19" s="94"/>
      <c r="GF19" s="94"/>
      <c r="GG19" s="94"/>
      <c r="GH19" s="94"/>
      <c r="GI19" s="94"/>
      <c r="GJ19" s="94"/>
      <c r="GK19" s="94"/>
      <c r="GL19" s="94"/>
      <c r="GM19" s="94"/>
      <c r="GN19" s="94"/>
      <c r="GO19" s="94"/>
      <c r="GP19" s="94"/>
      <c r="GQ19" s="94"/>
      <c r="GR19" s="94"/>
      <c r="GS19" s="94"/>
      <c r="GT19" s="94"/>
      <c r="GU19" s="94"/>
      <c r="GV19" s="94"/>
      <c r="GW19" s="94"/>
      <c r="GX19" s="94"/>
      <c r="GY19" s="94"/>
      <c r="GZ19" s="94"/>
      <c r="HA19" s="76"/>
      <c r="HB19" s="77"/>
      <c r="HC19" s="74"/>
    </row>
    <row r="20" spans="1:212" customHeight="1" ht="17.25" s="4" customFormat="1">
      <c r="A20" s="63"/>
      <c r="B20" s="31"/>
      <c r="C20" s="88"/>
      <c r="D20" s="88"/>
      <c r="E20" s="92"/>
      <c r="F20" s="96"/>
      <c r="G20" s="37">
        <f>IF($F20="SLACK-12CORE",$E20,0)</f>
        <v>0</v>
      </c>
      <c r="H20" s="37">
        <f>IF($F20="Slack Support HH",1,0)</f>
        <v>0</v>
      </c>
      <c r="I20" s="38">
        <f>IF($F20="SLACK-24CORE",$E20,0)</f>
        <v>0</v>
      </c>
      <c r="J20" s="38">
        <f>IF($F20="SLACK-48CORE",$E20,0)</f>
        <v>0</v>
      </c>
      <c r="K20" s="38">
        <f>IF($F20="SLACK-96CORE",$E20,0)</f>
        <v>0</v>
      </c>
      <c r="L20" s="38">
        <f>IF($F20="Slack Support HH",$E20,0)</f>
        <v>0</v>
      </c>
      <c r="M20" s="38">
        <f>IF($F20="HH-PIT-80",1,0)</f>
        <v>0</v>
      </c>
      <c r="N20" s="38">
        <f>IF($F20="AC-OF-SM-12D",$E20,0)</f>
        <v>0</v>
      </c>
      <c r="O20" s="38">
        <f>IF($F20="AC-OF-SM-24D",$E20,0)</f>
        <v>0</v>
      </c>
      <c r="P20" s="38">
        <f>IF($F20="AC-OF-SM-48D",$E20,0)</f>
        <v>0</v>
      </c>
      <c r="Q20" s="38">
        <f>IF($F20="AC-OF-SM-96D",$E20,0)</f>
        <v>0</v>
      </c>
      <c r="R20" s="38">
        <f>IF($F20="AC-OF-SM-ADSS-12D",$E20,0)</f>
        <v>0</v>
      </c>
      <c r="S20" s="38">
        <f>IF($F20="AC-OF-SM-12-SC",$E20,0)</f>
        <v>0</v>
      </c>
      <c r="T20" s="38">
        <f>IF($F20="AC-OF-SM-24-SC",$E20,0)</f>
        <v>0</v>
      </c>
      <c r="U20" s="38">
        <f>IF($F20="AC-OF-SM-48-SC",$E20,0)</f>
        <v>0</v>
      </c>
      <c r="V20" s="38">
        <f>IF($F20="AC-OF-SM-96-SC",$E20,0)</f>
        <v>0</v>
      </c>
      <c r="W20" s="38">
        <f>IF($F20="DC-OF-SM-144D",$E20,0)</f>
        <v>0</v>
      </c>
      <c r="X20" s="38">
        <f>IF($F20="DC-OF-SM-288D",$E20,0)</f>
        <v>0</v>
      </c>
      <c r="Y20" s="38">
        <f>IF($F20="AC-OF-SM-12-SC",$E20,0)</f>
        <v>0</v>
      </c>
      <c r="Z20" s="38">
        <f>IF($F20="SC-OF-SM-12",1,0)</f>
        <v>0</v>
      </c>
      <c r="AA20" s="38">
        <f>IF($F20="SC-OF-SM-12",1,0)</f>
        <v>0</v>
      </c>
      <c r="AB20" s="38">
        <f>IF($F20="SC-OF-SM-12",1,0)</f>
        <v>0</v>
      </c>
      <c r="AC20" s="38">
        <f>IF($F20="SC-OF-SM-12",1,0)</f>
        <v>0</v>
      </c>
      <c r="AD20" s="38">
        <f>IF($F20="SC-OF-SM-12",1,0)</f>
        <v>0</v>
      </c>
      <c r="AE20" s="38">
        <f>IF($F20="SC-OF-SM-24",1,0)</f>
        <v>0</v>
      </c>
      <c r="AF20" s="38">
        <f>IF($F20="OS-SM-1",$E20,0)</f>
        <v>0</v>
      </c>
      <c r="AG20" s="38">
        <f>IF($F20="OS-SM-1",$E20,0)</f>
        <v>0</v>
      </c>
      <c r="AH20" s="38">
        <f>IF($F20="OS-SM-1",$E20,0)</f>
        <v>0</v>
      </c>
      <c r="AI20" s="38">
        <f>IF($F20="OS-SM-1",$E20,0)</f>
        <v>0</v>
      </c>
      <c r="AJ20" s="38">
        <f>IF($F20="OS-SM-1",$E20,0)</f>
        <v>0</v>
      </c>
      <c r="AK20" s="38">
        <v>47</v>
      </c>
      <c r="AL20" s="38">
        <f>IF($F20="OS-SM-1",$E20,0)</f>
        <v>0</v>
      </c>
      <c r="AM20" s="38">
        <f>IF($F20="OS-SM-1",$E20,0)</f>
        <v>0</v>
      </c>
      <c r="AN20" s="38">
        <f>IF($F20="OS-SM-1",$E20,0)</f>
        <v>0</v>
      </c>
      <c r="AO20" s="38">
        <f>IF($F20="OS-SM-1",$E20,0)</f>
        <v>0</v>
      </c>
      <c r="AP20" s="38">
        <v>47</v>
      </c>
      <c r="AQ20" s="38">
        <f>IF($F20="OS-SM-1",$E20,0)</f>
        <v>0</v>
      </c>
      <c r="AR20" s="38">
        <f>IF($F20="OS-SM-1",$E20,0)</f>
        <v>0</v>
      </c>
      <c r="AS20" s="38">
        <f>IF($F20="OS-SM-1",$E20,0)</f>
        <v>0</v>
      </c>
      <c r="AT20" s="38">
        <v>47</v>
      </c>
      <c r="AU20" s="38">
        <f>IF($F20="OS-SM-1",$E20,0)</f>
        <v>0</v>
      </c>
      <c r="AV20" s="38">
        <v>47</v>
      </c>
      <c r="AW20" s="38">
        <f>IF($F20="OS-SM-1",$E20,0)</f>
        <v>0</v>
      </c>
      <c r="AX20" s="38">
        <f>IF($F20="OS-SM-1",$E20,0)</f>
        <v>0</v>
      </c>
      <c r="AY20" s="38">
        <v>47</v>
      </c>
      <c r="AZ20" s="38">
        <f>IF($F20="OS-SM-1",$E20,0)</f>
        <v>0</v>
      </c>
      <c r="BA20" s="38">
        <f>IF($F20="OS-SM-1",$E20,0)</f>
        <v>0</v>
      </c>
      <c r="BB20" s="38">
        <f>IF($F20="OS-SM-1",$E20,0)</f>
        <v>0</v>
      </c>
      <c r="BC20" s="38">
        <f>IF($F20="OS-SM-1",$E20,0)</f>
        <v>0</v>
      </c>
      <c r="BD20" s="38">
        <f>IF($F20="OS-SM-1",$E20,0)</f>
        <v>0</v>
      </c>
      <c r="BE20" s="38">
        <f>IF($F20="OS-SM-1",$E20,0)</f>
        <v>0</v>
      </c>
      <c r="BF20" s="38">
        <f>IF($F20="OS-SM-1",$E20,0)</f>
        <v>0</v>
      </c>
      <c r="BG20" s="38">
        <f>IF($F20="PC-UPC-652-2",$E20,0)</f>
        <v>0</v>
      </c>
      <c r="BH20" s="38">
        <f>IF($F20="PC-APC/UPC-652-A1",$E20,0)</f>
        <v>0</v>
      </c>
      <c r="BI20" s="38">
        <f>IF($F20="OS-SM-1",$E20,0)</f>
        <v>0</v>
      </c>
      <c r="BJ20" s="38">
        <f>IF($F20="ODC-C-144",$E20,0)</f>
        <v>0</v>
      </c>
      <c r="BK20" s="38">
        <f>IF($F20="ODC-C-288",1,0)</f>
        <v>0</v>
      </c>
      <c r="BL20" s="38">
        <f>IF($F20="ODC-PROT-144",1,0)</f>
        <v>0</v>
      </c>
      <c r="BM20" s="38">
        <f>IF($F20="ODC-PROT-288",1,0)</f>
        <v>0</v>
      </c>
      <c r="BN20" s="38">
        <f>IF($F20="ODP-CA-8",1,0)</f>
        <v>0</v>
      </c>
      <c r="BO20" s="38">
        <f>IF($F20="ODP-CA-16",1,0)</f>
        <v>0</v>
      </c>
      <c r="BP20" s="38">
        <f>IF($F20="ODP-A-8",1,0)</f>
        <v>0</v>
      </c>
      <c r="BQ20" s="38">
        <f>IF($F20="ODP-Solid-PB-8",1,0)</f>
        <v>0</v>
      </c>
      <c r="BR20" s="38">
        <f>IF($F20="ODP-Solid-PB-16",1,0)</f>
        <v>0</v>
      </c>
      <c r="BS20" s="38">
        <f>IF($F20="ODP-Solid-PB-8 AS",1,0)</f>
        <v>0</v>
      </c>
      <c r="BT20" s="38">
        <f>IF($F20="ODP-Solid-PB-16 AS",1,0)</f>
        <v>0</v>
      </c>
      <c r="BU20" s="38">
        <f>IF($F20="ODP-PL-16",1,0)</f>
        <v>0</v>
      </c>
      <c r="BV20" s="38">
        <f>IF($F20="TC-SM-12",1,0)</f>
        <v>0</v>
      </c>
      <c r="BW20" s="38">
        <f>IF($F20="TC-SM-12",1,0)</f>
        <v>0</v>
      </c>
      <c r="BX20" s="38">
        <f>IF($F20="TC-SM-48",1,0)</f>
        <v>0</v>
      </c>
      <c r="BY20" s="38">
        <f>IF($F20="TC-SM-96",1,0)</f>
        <v>0</v>
      </c>
      <c r="BZ20" s="38">
        <f>IF($F20="TC-SM-96",1,0)</f>
        <v>0</v>
      </c>
      <c r="CA20" s="38">
        <f>IF($F20="TC-SM-96",1,0)</f>
        <v>0</v>
      </c>
      <c r="CB20" s="38">
        <f>IF($F20="TC-SM-96",1,0)</f>
        <v>0</v>
      </c>
      <c r="CC20" s="38">
        <f>IF($F20="TC-SM-96",1,0)</f>
        <v>0</v>
      </c>
      <c r="CD20" s="38">
        <f>IF($F20="TC-SM-96",1,0)</f>
        <v>0</v>
      </c>
      <c r="CE20" s="38">
        <f>IF($F20="TC-SM-144",1,0)</f>
        <v>0</v>
      </c>
      <c r="CF20" s="38">
        <f>IF($F20="PS-1-4-ODC",$E20,0)</f>
        <v>0</v>
      </c>
      <c r="CG20" s="38">
        <f>IF($F20="PS-1-8-ODP",$E20,0)</f>
        <v>0</v>
      </c>
      <c r="CH20" s="38">
        <f>IF($F20="PS-1-16-ODP",1,0)</f>
        <v>0</v>
      </c>
      <c r="CI20" s="38">
        <f>IF($F20="TC-SM-96",1,0)</f>
        <v>0</v>
      </c>
      <c r="CJ20" s="38">
        <f>IF($F20="TC-SM-96",1,0)</f>
        <v>0</v>
      </c>
      <c r="CK20" s="38">
        <f>IF($F20="SITAC",1,0)</f>
        <v>0</v>
      </c>
      <c r="CL20" s="38">
        <f>IF($F20="PU-S7.0-140",1,0)</f>
        <v>0</v>
      </c>
      <c r="CM20" s="38">
        <f>IF($F20="PU-S7.0-400NM ",1,0)</f>
        <v>0</v>
      </c>
      <c r="CN20" s="38">
        <f>IF($F20="PU-S9.0-140",1,0)</f>
        <v>0</v>
      </c>
      <c r="CO20" s="38"/>
      <c r="CP20" s="38"/>
      <c r="CQ20" s="38"/>
      <c r="CR20" s="38">
        <f>IF($F20="PU-AS-SC",1,0)</f>
        <v>0</v>
      </c>
      <c r="CS20" s="38">
        <f>IF($F20="PU-AS-HL",2,0)</f>
        <v>0</v>
      </c>
      <c r="CT20" s="38">
        <f>IF($F20="STAINLESS BELT",2,0)</f>
        <v>0</v>
      </c>
      <c r="CU20" s="38">
        <f>IF($F20="PU-AS",1,0)</f>
        <v>0</v>
      </c>
      <c r="CV20" s="38">
        <f>IF($F20="GB-G1",1,0)</f>
        <v>0</v>
      </c>
      <c r="CW20" s="38">
        <f>IF($F20="GB-G3",1,0)</f>
        <v>0</v>
      </c>
      <c r="CX20" s="38"/>
      <c r="CY20" s="38">
        <f>IF($F20="TC-02-ODC",$E20,0)</f>
        <v>0</v>
      </c>
      <c r="CZ20" s="38">
        <f>IF($F20="tc-02-odc",1,0)</f>
        <v>0</v>
      </c>
      <c r="DA20" s="38">
        <f>IF($F20="tc-02-odc",1,0)</f>
        <v>0</v>
      </c>
      <c r="DB20" s="38">
        <f>IF($F20="tc-02-odc",1,0)</f>
        <v>0</v>
      </c>
      <c r="DC20" s="38">
        <f>IF($F20="tc-02-odc",1,0)</f>
        <v>0</v>
      </c>
      <c r="DD20" s="38">
        <f>IF($F20="tc-02-odc",1,0)</f>
        <v>0</v>
      </c>
      <c r="DE20" s="38">
        <f>IF($F20="tc-02-odc",1,0)</f>
        <v>0</v>
      </c>
      <c r="DF20" s="38">
        <f>IF($F20="tc-02-odc",1,0)</f>
        <v>0</v>
      </c>
      <c r="DG20" s="38">
        <f>IF($F20="tc-02-odc",1,0)</f>
        <v>0</v>
      </c>
      <c r="DH20" s="38">
        <f>IF($F20="tc-02-odc",1,0)</f>
        <v>0</v>
      </c>
      <c r="DI20" s="38">
        <f>IF($F20="tc-02-odc",1,0)</f>
        <v>0</v>
      </c>
      <c r="DJ20" s="38">
        <f>IF($F20="tc-02-odc",1,0)</f>
        <v>0</v>
      </c>
      <c r="DK20" s="38">
        <f>IF($F20="tc-02-odc",1,0)</f>
        <v>0</v>
      </c>
      <c r="DL20" s="38">
        <f>IF($F20="tc-02-odc",1,0)</f>
        <v>0</v>
      </c>
      <c r="DM20" s="38">
        <f>IF($F20="tc-02-odc",1,0)</f>
        <v>0</v>
      </c>
      <c r="DN20" s="38">
        <f>IF($F20="tc-02-odc",1,0)</f>
        <v>0</v>
      </c>
      <c r="DO20" s="38">
        <f>IF($F20="tc-02-odc",1,0)</f>
        <v>0</v>
      </c>
      <c r="DP20" s="38">
        <f>IF($F20="tc-02-odc",1,0)</f>
        <v>0</v>
      </c>
      <c r="DQ20" s="38">
        <f>IF($F20="tc-02-odc",1,0)</f>
        <v>0</v>
      </c>
      <c r="DR20" s="38">
        <f>IF($F20="tc-02-odc",1,0)</f>
        <v>0</v>
      </c>
      <c r="DS20" s="38">
        <f>IF($F20="tc-02-odc",1,0)</f>
        <v>0</v>
      </c>
      <c r="DT20" s="38">
        <f>IF($F20="tc-02-odc",1,0)</f>
        <v>0</v>
      </c>
      <c r="DU20" s="38">
        <f>IF($F20="tc-02-odc",1,0)</f>
        <v>0</v>
      </c>
      <c r="DV20" s="38">
        <f>IF($F20="tc-02-odc",1,0)</f>
        <v>0</v>
      </c>
      <c r="DW20" s="38">
        <f>IF($F20="tc-02-odc",1,0)</f>
        <v>0</v>
      </c>
      <c r="DX20" s="38">
        <f>IF($F20="tc-02-odc",1,0)</f>
        <v>0</v>
      </c>
      <c r="DY20" s="38">
        <f>IF($F20="tc-02-odc",1,0)</f>
        <v>0</v>
      </c>
      <c r="DZ20" s="38">
        <f>IF($F20="tc-02-odc",1,0)</f>
        <v>0</v>
      </c>
      <c r="EA20" s="38">
        <f>IF($F20="tc-02-odc",1,0)</f>
        <v>0</v>
      </c>
      <c r="EB20" s="38">
        <f>IF($F20="tc-02-odc",1,0)</f>
        <v>0</v>
      </c>
      <c r="EC20" s="38">
        <f>IF($F20="tc-02-odc",1,0)</f>
        <v>0</v>
      </c>
      <c r="ED20" s="38">
        <f>IF($F20="tc-02-odc",1,0)</f>
        <v>0</v>
      </c>
      <c r="EE20" s="38">
        <f>IF($F20="DCD-PVC-1",1,0)</f>
        <v>0</v>
      </c>
      <c r="EF20" s="38">
        <f>IF($F20="tc-02-odc",1,0)</f>
        <v>0</v>
      </c>
      <c r="EG20" s="38">
        <f>IF($F20="tc-02-odc",1,0)</f>
        <v>0</v>
      </c>
      <c r="EH20" s="38">
        <f>IF($F20="tc-02-odc",1,0)</f>
        <v>0</v>
      </c>
      <c r="EI20" s="38">
        <f>IF($F20="tc-02-odc",1,0)</f>
        <v>0</v>
      </c>
      <c r="EJ20" s="38">
        <f>IF($F20="tc-02-odc",1,0)</f>
        <v>0</v>
      </c>
      <c r="EK20" s="38">
        <f>IF($F20="tc-02-odc",1,0)</f>
        <v>0</v>
      </c>
      <c r="EL20" s="38">
        <f>IF($F20="tc-02-odc",1,0)</f>
        <v>0</v>
      </c>
      <c r="EM20" s="38">
        <f>IF($F20="tc-02-odc",1,0)</f>
        <v>0</v>
      </c>
      <c r="EN20" s="38">
        <f>IF($F20="DD-HDPE-40-1",$E20,0)</f>
        <v>0</v>
      </c>
      <c r="EO20" s="38">
        <f>IF($F20="DD-HDPE-40-1",$E20,0)</f>
        <v>0</v>
      </c>
      <c r="EP20" s="38">
        <f>IF($F20="DD-HDPE-50-1",$E20,0)</f>
        <v>0</v>
      </c>
      <c r="EQ20" s="38"/>
      <c r="ER20" s="38"/>
      <c r="ES20" s="38"/>
      <c r="ET20" s="38"/>
      <c r="EU20" s="38"/>
      <c r="EV20" s="38"/>
      <c r="EW20" s="38"/>
      <c r="EX20" s="38"/>
      <c r="EY20" s="38"/>
      <c r="EZ20" s="38"/>
      <c r="FA20" s="38"/>
      <c r="FB20" s="38"/>
      <c r="FC20" s="38"/>
      <c r="FD20" s="38"/>
      <c r="FE20" s="38"/>
      <c r="FF20" s="94"/>
      <c r="FG20" s="94"/>
      <c r="FH20" s="94"/>
      <c r="FI20" s="94"/>
      <c r="FJ20" s="94"/>
      <c r="FK20" s="94"/>
      <c r="FL20" s="94"/>
      <c r="FM20" s="94"/>
      <c r="FN20" s="94"/>
      <c r="FO20" s="94"/>
      <c r="FP20" s="94"/>
      <c r="FQ20" s="94"/>
      <c r="FR20" s="94"/>
      <c r="FS20" s="94"/>
      <c r="FT20" s="94"/>
      <c r="FU20" s="94"/>
      <c r="FV20" s="94"/>
      <c r="FW20" s="94"/>
      <c r="FX20" s="94"/>
      <c r="FY20" s="94"/>
      <c r="FZ20" s="94"/>
      <c r="GA20" s="94"/>
      <c r="GB20" s="94"/>
      <c r="GC20" s="94"/>
      <c r="GD20" s="94"/>
      <c r="GE20" s="94"/>
      <c r="GF20" s="94"/>
      <c r="GG20" s="94"/>
      <c r="GH20" s="94"/>
      <c r="GI20" s="94"/>
      <c r="GJ20" s="94"/>
      <c r="GK20" s="94"/>
      <c r="GL20" s="94"/>
      <c r="GM20" s="94"/>
      <c r="GN20" s="94"/>
      <c r="GO20" s="94"/>
      <c r="GP20" s="94"/>
      <c r="GQ20" s="94"/>
      <c r="GR20" s="94"/>
      <c r="GS20" s="94"/>
      <c r="GT20" s="94"/>
      <c r="GU20" s="94"/>
      <c r="GV20" s="94"/>
      <c r="GW20" s="94"/>
      <c r="GX20" s="94"/>
      <c r="GY20" s="94"/>
      <c r="GZ20" s="94"/>
      <c r="HA20" s="76"/>
      <c r="HB20" s="77"/>
      <c r="HC20" s="74"/>
    </row>
    <row r="21" spans="1:212" customHeight="1" ht="17.25" s="4" customFormat="1">
      <c r="A21" s="63"/>
      <c r="B21" s="31"/>
      <c r="C21" s="88"/>
      <c r="D21" s="88"/>
      <c r="E21" s="92"/>
      <c r="F21" s="93"/>
      <c r="G21" s="37">
        <f>IF($F21="SLACK-12CORE",$E21,0)</f>
        <v>0</v>
      </c>
      <c r="H21" s="37">
        <f>IF($F21="Slack Support HH",1,0)</f>
        <v>0</v>
      </c>
      <c r="I21" s="38">
        <f>IF($F21="SLACK-24CORE",$E21,0)</f>
        <v>0</v>
      </c>
      <c r="J21" s="38">
        <f>IF($F21="SLACK-48CORE",$E21,0)</f>
        <v>0</v>
      </c>
      <c r="K21" s="38">
        <f>IF($F21="SLACK-96CORE",$E21,0)</f>
        <v>0</v>
      </c>
      <c r="L21" s="38">
        <f>IF($F21="Slack Support HH",$E21,0)</f>
        <v>0</v>
      </c>
      <c r="M21" s="38">
        <f>IF($F21="HH-PIT-80",1,0)</f>
        <v>0</v>
      </c>
      <c r="N21" s="38">
        <f>IF($F21="AC-OF-SM-12D",$E21,0)</f>
        <v>0</v>
      </c>
      <c r="O21" s="38">
        <f>IF($F21="AC-OF-SM-24D",$E21,0)</f>
        <v>0</v>
      </c>
      <c r="P21" s="38">
        <f>IF($F21="AC-OF-SM-48D",$E21,0)</f>
        <v>0</v>
      </c>
      <c r="Q21" s="38">
        <f>IF($F21="AC-OF-SM-96D",$E21,0)</f>
        <v>0</v>
      </c>
      <c r="R21" s="38">
        <f>IF($F21="AC-OF-SM-ADSS-12D",$E21,0)</f>
        <v>0</v>
      </c>
      <c r="S21" s="38">
        <f>IF($F21="AC-OF-SM-12-SC",$E21,0)</f>
        <v>0</v>
      </c>
      <c r="T21" s="38">
        <f>IF($F21="AC-OF-SM-24-SC",$E21,0)</f>
        <v>0</v>
      </c>
      <c r="U21" s="38">
        <f>IF($F21="AC-OF-SM-48-SC",$E21,0)</f>
        <v>0</v>
      </c>
      <c r="V21" s="38">
        <f>IF($F21="AC-OF-SM-96-SC",$E21,0)</f>
        <v>0</v>
      </c>
      <c r="W21" s="38">
        <f>IF($F21="DC-OF-SM-144D",$E21,0)</f>
        <v>0</v>
      </c>
      <c r="X21" s="38">
        <f>IF($F21="DC-OF-SM-288D",$E21,0)</f>
        <v>0</v>
      </c>
      <c r="Y21" s="38">
        <f>IF($F21="AC-OF-SM-12-SC",$E21,0)</f>
        <v>0</v>
      </c>
      <c r="Z21" s="38">
        <f>IF($F21="SC-OF-SM-12",1,0)</f>
        <v>0</v>
      </c>
      <c r="AA21" s="38">
        <f>IF($F21="SC-OF-SM-12",1,0)</f>
        <v>0</v>
      </c>
      <c r="AB21" s="38">
        <f>IF($F21="SC-OF-SM-12",1,0)</f>
        <v>0</v>
      </c>
      <c r="AC21" s="38">
        <f>IF($F21="SC-OF-SM-12",1,0)</f>
        <v>0</v>
      </c>
      <c r="AD21" s="38">
        <f>IF($F21="SC-OF-SM-12",1,0)</f>
        <v>0</v>
      </c>
      <c r="AE21" s="38">
        <f>IF($F21="SC-OF-SM-24",1,0)</f>
        <v>0</v>
      </c>
      <c r="AF21" s="38">
        <f>IF($F21="OS-SM-1",$E21,0)</f>
        <v>0</v>
      </c>
      <c r="AG21" s="38">
        <f>IF($F21="OS-SM-1",$E21,0)</f>
        <v>0</v>
      </c>
      <c r="AH21" s="38">
        <f>IF($F21="OS-SM-1",$E21,0)</f>
        <v>0</v>
      </c>
      <c r="AI21" s="38">
        <f>IF($F21="OS-SM-1",$E21,0)</f>
        <v>0</v>
      </c>
      <c r="AJ21" s="38">
        <f>IF($F21="OS-SM-1",$E21,0)</f>
        <v>0</v>
      </c>
      <c r="AK21" s="38">
        <v>48</v>
      </c>
      <c r="AL21" s="38">
        <f>IF($F21="OS-SM-1",$E21,0)</f>
        <v>0</v>
      </c>
      <c r="AM21" s="38">
        <f>IF($F21="OS-SM-1",$E21,0)</f>
        <v>0</v>
      </c>
      <c r="AN21" s="38">
        <f>IF($F21="OS-SM-1",$E21,0)</f>
        <v>0</v>
      </c>
      <c r="AO21" s="38">
        <f>IF($F21="OS-SM-1",$E21,0)</f>
        <v>0</v>
      </c>
      <c r="AP21" s="38">
        <v>48</v>
      </c>
      <c r="AQ21" s="38">
        <f>IF($F21="OS-SM-1",$E21,0)</f>
        <v>0</v>
      </c>
      <c r="AR21" s="38">
        <f>IF($F21="OS-SM-1",$E21,0)</f>
        <v>0</v>
      </c>
      <c r="AS21" s="38">
        <f>IF($F21="OS-SM-1",$E21,0)</f>
        <v>0</v>
      </c>
      <c r="AT21" s="38">
        <v>48</v>
      </c>
      <c r="AU21" s="38">
        <f>IF($F21="OS-SM-1",$E21,0)</f>
        <v>0</v>
      </c>
      <c r="AV21" s="38">
        <v>48</v>
      </c>
      <c r="AW21" s="38">
        <f>IF($F21="OS-SM-1",$E21,0)</f>
        <v>0</v>
      </c>
      <c r="AX21" s="38">
        <f>IF($F21="OS-SM-1",$E21,0)</f>
        <v>0</v>
      </c>
      <c r="AY21" s="38">
        <v>48</v>
      </c>
      <c r="AZ21" s="38">
        <f>IF($F21="OS-SM-1",$E21,0)</f>
        <v>0</v>
      </c>
      <c r="BA21" s="38">
        <f>IF($F21="OS-SM-1",$E21,0)</f>
        <v>0</v>
      </c>
      <c r="BB21" s="38">
        <f>IF($F21="OS-SM-1",$E21,0)</f>
        <v>0</v>
      </c>
      <c r="BC21" s="38">
        <f>IF($F21="OS-SM-1",$E21,0)</f>
        <v>0</v>
      </c>
      <c r="BD21" s="38">
        <f>IF($F21="OS-SM-1",$E21,0)</f>
        <v>0</v>
      </c>
      <c r="BE21" s="38">
        <f>IF($F21="OS-SM-1",$E21,0)</f>
        <v>0</v>
      </c>
      <c r="BF21" s="38">
        <f>IF($F21="OS-SM-1",$E21,0)</f>
        <v>0</v>
      </c>
      <c r="BG21" s="38">
        <f>IF($F21="PC-UPC-652-2",$E21,0)</f>
        <v>0</v>
      </c>
      <c r="BH21" s="38">
        <f>IF($F21="PC-APC/UPC-652-A1",$E21,0)</f>
        <v>0</v>
      </c>
      <c r="BI21" s="38">
        <f>IF($F21="OS-SM-1",$E21,0)</f>
        <v>0</v>
      </c>
      <c r="BJ21" s="38">
        <f>IF($F21="ODC-C-144",$E21,0)</f>
        <v>0</v>
      </c>
      <c r="BK21" s="38">
        <f>IF($F21="ODC-C-288",1,0)</f>
        <v>0</v>
      </c>
      <c r="BL21" s="38">
        <f>IF($F21="ODC-PROT-144",1,0)</f>
        <v>0</v>
      </c>
      <c r="BM21" s="38">
        <f>IF($F21="ODC-PROT-288",1,0)</f>
        <v>0</v>
      </c>
      <c r="BN21" s="38">
        <f>IF($F21="ODP-CA-8",1,0)</f>
        <v>0</v>
      </c>
      <c r="BO21" s="38">
        <f>IF($F21="ODP-CA-16",1,0)</f>
        <v>0</v>
      </c>
      <c r="BP21" s="38">
        <f>IF($F21="ODP-A-8",1,0)</f>
        <v>0</v>
      </c>
      <c r="BQ21" s="38">
        <f>IF($F21="ODP-Solid-PB-8",1,0)</f>
        <v>0</v>
      </c>
      <c r="BR21" s="38">
        <f>IF($F21="ODP-Solid-PB-16",1,0)</f>
        <v>0</v>
      </c>
      <c r="BS21" s="38">
        <f>IF($F21="ODP-Solid-PB-8 AS",1,0)</f>
        <v>0</v>
      </c>
      <c r="BT21" s="38">
        <f>IF($F21="ODP-Solid-PB-16 AS",1,0)</f>
        <v>0</v>
      </c>
      <c r="BU21" s="38">
        <f>IF($F21="ODP-PL-16",1,0)</f>
        <v>0</v>
      </c>
      <c r="BV21" s="38">
        <f>IF($F21="TC-SM-12",1,0)</f>
        <v>0</v>
      </c>
      <c r="BW21" s="38">
        <f>IF($F21="TC-SM-12",1,0)</f>
        <v>0</v>
      </c>
      <c r="BX21" s="38">
        <f>IF($F21="TC-SM-48",1,0)</f>
        <v>0</v>
      </c>
      <c r="BY21" s="38">
        <f>IF($F21="TC-SM-96",1,0)</f>
        <v>0</v>
      </c>
      <c r="BZ21" s="38">
        <f>IF($F21="TC-SM-96",1,0)</f>
        <v>0</v>
      </c>
      <c r="CA21" s="38">
        <f>IF($F21="TC-SM-96",1,0)</f>
        <v>0</v>
      </c>
      <c r="CB21" s="38">
        <f>IF($F21="TC-SM-96",1,0)</f>
        <v>0</v>
      </c>
      <c r="CC21" s="38">
        <f>IF($F21="TC-SM-96",1,0)</f>
        <v>0</v>
      </c>
      <c r="CD21" s="38">
        <f>IF($F21="TC-SM-96",1,0)</f>
        <v>0</v>
      </c>
      <c r="CE21" s="38">
        <f>IF($F21="TC-SM-144",1,0)</f>
        <v>0</v>
      </c>
      <c r="CF21" s="38">
        <f>IF($F21="PS-1-4-ODC",$E21,0)</f>
        <v>0</v>
      </c>
      <c r="CG21" s="38">
        <f>IF($F21="PS-1-8-ODP",$E21,0)</f>
        <v>0</v>
      </c>
      <c r="CH21" s="38">
        <f>IF($F21="PS-1-16-ODP",1,0)</f>
        <v>0</v>
      </c>
      <c r="CI21" s="38">
        <f>IF($F21="TC-SM-96",1,0)</f>
        <v>0</v>
      </c>
      <c r="CJ21" s="38">
        <f>IF($F21="TC-SM-96",1,0)</f>
        <v>0</v>
      </c>
      <c r="CK21" s="38">
        <f>IF($F21="SITAC",1,0)</f>
        <v>0</v>
      </c>
      <c r="CL21" s="38">
        <f>IF($F21="PU-S7.0-140",1,0)</f>
        <v>0</v>
      </c>
      <c r="CM21" s="38">
        <f>IF($F21="PU-S7.0-400NM ",1,0)</f>
        <v>0</v>
      </c>
      <c r="CN21" s="38">
        <f>IF($F21="PU-S9.0-140",1,0)</f>
        <v>0</v>
      </c>
      <c r="CO21" s="38"/>
      <c r="CP21" s="38"/>
      <c r="CQ21" s="38"/>
      <c r="CR21" s="38">
        <f>IF($F21="PU-AS-SC",1,0)</f>
        <v>0</v>
      </c>
      <c r="CS21" s="38">
        <f>IF($F21="PU-AS-HL",2,0)</f>
        <v>0</v>
      </c>
      <c r="CT21" s="38">
        <f>IF($F21="STAINLESS BELT",2,0)</f>
        <v>0</v>
      </c>
      <c r="CU21" s="38">
        <f>IF($F21="PU-AS",1,0)</f>
        <v>0</v>
      </c>
      <c r="CV21" s="38">
        <f>IF($F21="GB-G1",1,0)</f>
        <v>0</v>
      </c>
      <c r="CW21" s="38">
        <f>IF($F21="GB-G3",1,0)</f>
        <v>0</v>
      </c>
      <c r="CX21" s="38"/>
      <c r="CY21" s="38">
        <f>IF($F21="TC-02-ODC",$E21,0)</f>
        <v>0</v>
      </c>
      <c r="CZ21" s="38">
        <f>IF($F21="tc-02-odc",1,0)</f>
        <v>0</v>
      </c>
      <c r="DA21" s="38">
        <f>IF($F21="tc-02-odc",1,0)</f>
        <v>0</v>
      </c>
      <c r="DB21" s="38">
        <f>IF($F21="tc-02-odc",1,0)</f>
        <v>0</v>
      </c>
      <c r="DC21" s="38">
        <f>IF($F21="tc-02-odc",1,0)</f>
        <v>0</v>
      </c>
      <c r="DD21" s="38">
        <f>IF($F21="tc-02-odc",1,0)</f>
        <v>0</v>
      </c>
      <c r="DE21" s="38">
        <f>IF($F21="tc-02-odc",1,0)</f>
        <v>0</v>
      </c>
      <c r="DF21" s="38">
        <f>IF($F21="tc-02-odc",1,0)</f>
        <v>0</v>
      </c>
      <c r="DG21" s="38">
        <f>IF($F21="tc-02-odc",1,0)</f>
        <v>0</v>
      </c>
      <c r="DH21" s="38">
        <f>IF($F21="tc-02-odc",1,0)</f>
        <v>0</v>
      </c>
      <c r="DI21" s="38">
        <f>IF($F21="tc-02-odc",1,0)</f>
        <v>0</v>
      </c>
      <c r="DJ21" s="38">
        <f>IF($F21="tc-02-odc",1,0)</f>
        <v>0</v>
      </c>
      <c r="DK21" s="38">
        <f>IF($F21="tc-02-odc",1,0)</f>
        <v>0</v>
      </c>
      <c r="DL21" s="38">
        <f>IF($F21="tc-02-odc",1,0)</f>
        <v>0</v>
      </c>
      <c r="DM21" s="38">
        <f>IF($F21="tc-02-odc",1,0)</f>
        <v>0</v>
      </c>
      <c r="DN21" s="38">
        <f>IF($F21="tc-02-odc",1,0)</f>
        <v>0</v>
      </c>
      <c r="DO21" s="38">
        <f>IF($F21="tc-02-odc",1,0)</f>
        <v>0</v>
      </c>
      <c r="DP21" s="38">
        <f>IF($F21="tc-02-odc",1,0)</f>
        <v>0</v>
      </c>
      <c r="DQ21" s="38">
        <f>IF($F21="tc-02-odc",1,0)</f>
        <v>0</v>
      </c>
      <c r="DR21" s="38">
        <f>IF($F21="tc-02-odc",1,0)</f>
        <v>0</v>
      </c>
      <c r="DS21" s="38">
        <f>IF($F21="tc-02-odc",1,0)</f>
        <v>0</v>
      </c>
      <c r="DT21" s="38">
        <f>IF($F21="tc-02-odc",1,0)</f>
        <v>0</v>
      </c>
      <c r="DU21" s="38">
        <f>IF($F21="tc-02-odc",1,0)</f>
        <v>0</v>
      </c>
      <c r="DV21" s="38">
        <f>IF($F21="tc-02-odc",1,0)</f>
        <v>0</v>
      </c>
      <c r="DW21" s="38">
        <f>IF($F21="tc-02-odc",1,0)</f>
        <v>0</v>
      </c>
      <c r="DX21" s="38">
        <f>IF($F21="tc-02-odc",1,0)</f>
        <v>0</v>
      </c>
      <c r="DY21" s="38">
        <f>IF($F21="tc-02-odc",1,0)</f>
        <v>0</v>
      </c>
      <c r="DZ21" s="38">
        <f>IF($F21="tc-02-odc",1,0)</f>
        <v>0</v>
      </c>
      <c r="EA21" s="38">
        <f>IF($F21="tc-02-odc",1,0)</f>
        <v>0</v>
      </c>
      <c r="EB21" s="38">
        <f>IF($F21="tc-02-odc",1,0)</f>
        <v>0</v>
      </c>
      <c r="EC21" s="38">
        <f>IF($F21="tc-02-odc",1,0)</f>
        <v>0</v>
      </c>
      <c r="ED21" s="38">
        <f>IF($F21="tc-02-odc",1,0)</f>
        <v>0</v>
      </c>
      <c r="EE21" s="38">
        <f>IF($F21="DCD-PVC-1",1,0)</f>
        <v>0</v>
      </c>
      <c r="EF21" s="38">
        <f>IF($F21="tc-02-odc",1,0)</f>
        <v>0</v>
      </c>
      <c r="EG21" s="38">
        <f>IF($F21="tc-02-odc",1,0)</f>
        <v>0</v>
      </c>
      <c r="EH21" s="38">
        <f>IF($F21="tc-02-odc",1,0)</f>
        <v>0</v>
      </c>
      <c r="EI21" s="38">
        <f>IF($F21="tc-02-odc",1,0)</f>
        <v>0</v>
      </c>
      <c r="EJ21" s="38">
        <f>IF($F21="tc-02-odc",1,0)</f>
        <v>0</v>
      </c>
      <c r="EK21" s="38">
        <f>IF($F21="tc-02-odc",1,0)</f>
        <v>0</v>
      </c>
      <c r="EL21" s="38">
        <f>IF($F21="tc-02-odc",1,0)</f>
        <v>0</v>
      </c>
      <c r="EM21" s="38">
        <f>IF($F21="tc-02-odc",1,0)</f>
        <v>0</v>
      </c>
      <c r="EN21" s="38">
        <f>IF($F21="DD-HDPE-40-1",$E21,0)</f>
        <v>0</v>
      </c>
      <c r="EO21" s="38">
        <f>IF($F21="DD-HDPE-40-1",$E21,0)</f>
        <v>0</v>
      </c>
      <c r="EP21" s="38">
        <f>IF($F21="DD-HDPE-50-1",$E21,0)</f>
        <v>0</v>
      </c>
      <c r="EQ21" s="38"/>
      <c r="ER21" s="38"/>
      <c r="ES21" s="38"/>
      <c r="ET21" s="38"/>
      <c r="EU21" s="38"/>
      <c r="EV21" s="38"/>
      <c r="EW21" s="38"/>
      <c r="EX21" s="38"/>
      <c r="EY21" s="38"/>
      <c r="EZ21" s="38"/>
      <c r="FA21" s="38"/>
      <c r="FB21" s="38"/>
      <c r="FC21" s="38"/>
      <c r="FD21" s="38"/>
      <c r="FE21" s="38"/>
      <c r="FF21" s="94"/>
      <c r="FG21" s="94"/>
      <c r="FH21" s="94"/>
      <c r="FI21" s="94"/>
      <c r="FJ21" s="94"/>
      <c r="FK21" s="94"/>
      <c r="FL21" s="94"/>
      <c r="FM21" s="94"/>
      <c r="FN21" s="94"/>
      <c r="FO21" s="94"/>
      <c r="FP21" s="94"/>
      <c r="FQ21" s="94"/>
      <c r="FR21" s="94"/>
      <c r="FS21" s="94"/>
      <c r="FT21" s="94"/>
      <c r="FU21" s="94"/>
      <c r="FV21" s="94"/>
      <c r="FW21" s="94"/>
      <c r="FX21" s="94"/>
      <c r="FY21" s="94"/>
      <c r="FZ21" s="94"/>
      <c r="GA21" s="94"/>
      <c r="GB21" s="94"/>
      <c r="GC21" s="94"/>
      <c r="GD21" s="94"/>
      <c r="GE21" s="94"/>
      <c r="GF21" s="94"/>
      <c r="GG21" s="94"/>
      <c r="GH21" s="94"/>
      <c r="GI21" s="94"/>
      <c r="GJ21" s="94"/>
      <c r="GK21" s="94"/>
      <c r="GL21" s="94"/>
      <c r="GM21" s="94"/>
      <c r="GN21" s="94"/>
      <c r="GO21" s="94"/>
      <c r="GP21" s="94"/>
      <c r="GQ21" s="94"/>
      <c r="GR21" s="94"/>
      <c r="GS21" s="94"/>
      <c r="GT21" s="94"/>
      <c r="GU21" s="94"/>
      <c r="GV21" s="94"/>
      <c r="GW21" s="94"/>
      <c r="GX21" s="94"/>
      <c r="GY21" s="94"/>
      <c r="GZ21" s="94"/>
      <c r="HA21" s="76"/>
      <c r="HB21" s="77"/>
      <c r="HC21" s="74"/>
    </row>
    <row r="22" spans="1:212" customHeight="1" ht="17.25" s="4" customFormat="1">
      <c r="A22" s="63"/>
      <c r="B22" s="31"/>
      <c r="C22" s="88"/>
      <c r="D22" s="88"/>
      <c r="E22" s="92"/>
      <c r="F22" s="93"/>
      <c r="G22" s="37">
        <f>IF($F22="SLACK-12CORE",$E22,0)</f>
        <v>0</v>
      </c>
      <c r="H22" s="37">
        <f>IF($F22="Slack Support HH",1,0)</f>
        <v>0</v>
      </c>
      <c r="I22" s="38">
        <f>IF($F22="SLACK-24CORE",$E22,0)</f>
        <v>0</v>
      </c>
      <c r="J22" s="38">
        <f>IF($F22="SLACK-48CORE",$E22,0)</f>
        <v>0</v>
      </c>
      <c r="K22" s="38">
        <f>IF($F22="SLACK-96CORE",$E22,0)</f>
        <v>0</v>
      </c>
      <c r="L22" s="38">
        <f>IF($F22="Slack Support HH",$E22,0)</f>
        <v>0</v>
      </c>
      <c r="M22" s="38">
        <f>IF($F22="HH-PIT-80",1,0)</f>
        <v>0</v>
      </c>
      <c r="N22" s="38">
        <f>IF($F22="AC-OF-SM-12D",$E22,0)</f>
        <v>0</v>
      </c>
      <c r="O22" s="38">
        <f>IF($F22="AC-OF-SM-24D",$E22,0)</f>
        <v>0</v>
      </c>
      <c r="P22" s="38">
        <f>IF($F22="AC-OF-SM-48D",$E22,0)</f>
        <v>0</v>
      </c>
      <c r="Q22" s="38">
        <f>IF($F22="AC-OF-SM-96D",$E22,0)</f>
        <v>0</v>
      </c>
      <c r="R22" s="38">
        <f>IF($F22="AC-OF-SM-ADSS-12D",$E22,0)</f>
        <v>0</v>
      </c>
      <c r="S22" s="38">
        <f>IF($F22="AC-OF-SM-12-SC",$E22,0)</f>
        <v>0</v>
      </c>
      <c r="T22" s="38">
        <f>IF($F22="AC-OF-SM-24-SC",$E22,0)</f>
        <v>0</v>
      </c>
      <c r="U22" s="38">
        <f>IF($F22="AC-OF-SM-48-SC",$E22,0)</f>
        <v>0</v>
      </c>
      <c r="V22" s="38">
        <f>IF($F22="AC-OF-SM-96-SC",$E22,0)</f>
        <v>0</v>
      </c>
      <c r="W22" s="38">
        <f>IF($F22="DC-OF-SM-144D",$E22,0)</f>
        <v>0</v>
      </c>
      <c r="X22" s="38">
        <f>IF($F22="DC-OF-SM-288D",$E22,0)</f>
        <v>0</v>
      </c>
      <c r="Y22" s="38">
        <f>IF($F22="AC-OF-SM-12-SC",$E22,0)</f>
        <v>0</v>
      </c>
      <c r="Z22" s="38">
        <f>IF($F22="SC-OF-SM-12",1,0)</f>
        <v>0</v>
      </c>
      <c r="AA22" s="38">
        <f>IF($F22="SC-OF-SM-12",1,0)</f>
        <v>0</v>
      </c>
      <c r="AB22" s="38">
        <f>IF($F22="SC-OF-SM-12",1,0)</f>
        <v>0</v>
      </c>
      <c r="AC22" s="38">
        <f>IF($F22="SC-OF-SM-12",1,0)</f>
        <v>0</v>
      </c>
      <c r="AD22" s="38">
        <f>IF($F22="SC-OF-SM-12",1,0)</f>
        <v>0</v>
      </c>
      <c r="AE22" s="38">
        <f>IF($F22="SC-OF-SM-24",1,0)</f>
        <v>0</v>
      </c>
      <c r="AF22" s="38">
        <f>IF($F22="OS-SM-1",$E22,0)</f>
        <v>0</v>
      </c>
      <c r="AG22" s="38">
        <f>IF($F22="OS-SM-1",$E22,0)</f>
        <v>0</v>
      </c>
      <c r="AH22" s="38">
        <f>IF($F22="OS-SM-1",$E22,0)</f>
        <v>0</v>
      </c>
      <c r="AI22" s="38">
        <f>IF($F22="OS-SM-1",$E22,0)</f>
        <v>0</v>
      </c>
      <c r="AJ22" s="38">
        <f>IF($F22="OS-SM-1",$E22,0)</f>
        <v>0</v>
      </c>
      <c r="AK22" s="38">
        <v>49</v>
      </c>
      <c r="AL22" s="38">
        <f>IF($F22="OS-SM-1",$E22,0)</f>
        <v>0</v>
      </c>
      <c r="AM22" s="38">
        <f>IF($F22="OS-SM-1",$E22,0)</f>
        <v>0</v>
      </c>
      <c r="AN22" s="38">
        <f>IF($F22="OS-SM-1",$E22,0)</f>
        <v>0</v>
      </c>
      <c r="AO22" s="38">
        <f>IF($F22="OS-SM-1",$E22,0)</f>
        <v>0</v>
      </c>
      <c r="AP22" s="38">
        <v>49</v>
      </c>
      <c r="AQ22" s="38">
        <f>IF($F22="OS-SM-1",$E22,0)</f>
        <v>0</v>
      </c>
      <c r="AR22" s="38">
        <f>IF($F22="OS-SM-1",$E22,0)</f>
        <v>0</v>
      </c>
      <c r="AS22" s="38">
        <f>IF($F22="OS-SM-1",$E22,0)</f>
        <v>0</v>
      </c>
      <c r="AT22" s="38">
        <v>49</v>
      </c>
      <c r="AU22" s="38">
        <f>IF($F22="OS-SM-1",$E22,0)</f>
        <v>0</v>
      </c>
      <c r="AV22" s="38">
        <v>49</v>
      </c>
      <c r="AW22" s="38">
        <f>IF($F22="OS-SM-1",$E22,0)</f>
        <v>0</v>
      </c>
      <c r="AX22" s="38">
        <f>IF($F22="OS-SM-1",$E22,0)</f>
        <v>0</v>
      </c>
      <c r="AY22" s="38">
        <v>49</v>
      </c>
      <c r="AZ22" s="38">
        <f>IF($F22="OS-SM-1",$E22,0)</f>
        <v>0</v>
      </c>
      <c r="BA22" s="38">
        <f>IF($F22="OS-SM-1",$E22,0)</f>
        <v>0</v>
      </c>
      <c r="BB22" s="38">
        <f>IF($F22="OS-SM-1",$E22,0)</f>
        <v>0</v>
      </c>
      <c r="BC22" s="38">
        <f>IF($F22="OS-SM-1",$E22,0)</f>
        <v>0</v>
      </c>
      <c r="BD22" s="38">
        <f>IF($F22="OS-SM-1",$E22,0)</f>
        <v>0</v>
      </c>
      <c r="BE22" s="38">
        <f>IF($F22="OS-SM-1",$E22,0)</f>
        <v>0</v>
      </c>
      <c r="BF22" s="38">
        <f>IF($F22="OS-SM-1",$E22,0)</f>
        <v>0</v>
      </c>
      <c r="BG22" s="38">
        <f>IF($F22="PC-UPC-652-2",$E22,0)</f>
        <v>0</v>
      </c>
      <c r="BH22" s="38">
        <f>IF($F22="PC-APC/UPC-652-A1",$E22,0)</f>
        <v>0</v>
      </c>
      <c r="BI22" s="38">
        <f>IF($F22="OS-SM-1",$E22,0)</f>
        <v>0</v>
      </c>
      <c r="BJ22" s="38">
        <f>IF($F22="ODC-C-144",$E22,0)</f>
        <v>0</v>
      </c>
      <c r="BK22" s="38">
        <f>IF($F22="ODC-C-288",1,0)</f>
        <v>0</v>
      </c>
      <c r="BL22" s="38">
        <f>IF($F22="ODC-PROT-144",1,0)</f>
        <v>0</v>
      </c>
      <c r="BM22" s="38">
        <f>IF($F22="ODC-PROT-288",1,0)</f>
        <v>0</v>
      </c>
      <c r="BN22" s="38">
        <f>IF($F22="ODP-CA-8",1,0)</f>
        <v>0</v>
      </c>
      <c r="BO22" s="38">
        <f>IF($F22="ODP-CA-16",1,0)</f>
        <v>0</v>
      </c>
      <c r="BP22" s="38">
        <f>IF($F22="ODP-A-8",1,0)</f>
        <v>0</v>
      </c>
      <c r="BQ22" s="38">
        <f>IF($F22="ODP-Solid-PB-8",1,0)</f>
        <v>0</v>
      </c>
      <c r="BR22" s="38">
        <f>IF($F22="ODP-Solid-PB-16",1,0)</f>
        <v>0</v>
      </c>
      <c r="BS22" s="38">
        <f>IF($F22="ODP-Solid-PB-8 AS",1,0)</f>
        <v>0</v>
      </c>
      <c r="BT22" s="38">
        <f>IF($F22="ODP-Solid-PB-16 AS",1,0)</f>
        <v>0</v>
      </c>
      <c r="BU22" s="38">
        <f>IF($F22="ODP-PL-16",1,0)</f>
        <v>0</v>
      </c>
      <c r="BV22" s="38">
        <f>IF($F22="TC-SM-12",1,0)</f>
        <v>0</v>
      </c>
      <c r="BW22" s="38">
        <f>IF($F22="TC-SM-12",1,0)</f>
        <v>0</v>
      </c>
      <c r="BX22" s="38">
        <f>IF($F22="TC-SM-48",1,0)</f>
        <v>0</v>
      </c>
      <c r="BY22" s="38">
        <f>IF($F22="TC-SM-96",1,0)</f>
        <v>0</v>
      </c>
      <c r="BZ22" s="38">
        <f>IF($F22="TC-SM-96",1,0)</f>
        <v>0</v>
      </c>
      <c r="CA22" s="38">
        <f>IF($F22="TC-SM-96",1,0)</f>
        <v>0</v>
      </c>
      <c r="CB22" s="38">
        <f>IF($F22="TC-SM-96",1,0)</f>
        <v>0</v>
      </c>
      <c r="CC22" s="38">
        <f>IF($F22="TC-SM-96",1,0)</f>
        <v>0</v>
      </c>
      <c r="CD22" s="38">
        <f>IF($F22="TC-SM-96",1,0)</f>
        <v>0</v>
      </c>
      <c r="CE22" s="38">
        <f>IF($F22="TC-SM-144",1,0)</f>
        <v>0</v>
      </c>
      <c r="CF22" s="38">
        <f>IF($F22="PS-1-4-ODC",$E22,0)</f>
        <v>0</v>
      </c>
      <c r="CG22" s="38">
        <f>IF($F22="PS-1-8-ODP",$E22,0)</f>
        <v>0</v>
      </c>
      <c r="CH22" s="38">
        <f>IF($F22="PS-1-16-ODP",1,0)</f>
        <v>0</v>
      </c>
      <c r="CI22" s="38">
        <f>IF($F22="TC-SM-96",1,0)</f>
        <v>0</v>
      </c>
      <c r="CJ22" s="38">
        <f>IF($F22="TC-SM-96",1,0)</f>
        <v>0</v>
      </c>
      <c r="CK22" s="38">
        <f>IF($F22="SITAC",1,0)</f>
        <v>0</v>
      </c>
      <c r="CL22" s="38">
        <f>IF($F22="PU-S7.0-140",1,0)</f>
        <v>0</v>
      </c>
      <c r="CM22" s="38">
        <f>IF($F22="PU-S7.0-400NM ",1,0)</f>
        <v>0</v>
      </c>
      <c r="CN22" s="38">
        <f>IF($F22="PU-S9.0-140",1,0)</f>
        <v>0</v>
      </c>
      <c r="CO22" s="38"/>
      <c r="CP22" s="38"/>
      <c r="CQ22" s="38"/>
      <c r="CR22" s="38">
        <f>IF($F22="PU-AS-SC",1,0)</f>
        <v>0</v>
      </c>
      <c r="CS22" s="38">
        <f>IF($F22="PU-AS-HL",2,0)</f>
        <v>0</v>
      </c>
      <c r="CT22" s="38">
        <f>IF($F22="STAINLESS BELT",1,0)</f>
        <v>0</v>
      </c>
      <c r="CU22" s="38">
        <f>IF($F22="PU-AS",1,0)</f>
        <v>0</v>
      </c>
      <c r="CV22" s="38">
        <f>IF($F22="GB-G1",1,0)</f>
        <v>0</v>
      </c>
      <c r="CW22" s="38">
        <f>IF($F22="GB-G3",1,0)</f>
        <v>0</v>
      </c>
      <c r="CX22" s="38"/>
      <c r="CY22" s="38">
        <f>IF($F22="TC-02-ODC",$E22,0)</f>
        <v>0</v>
      </c>
      <c r="CZ22" s="38">
        <f>IF($F22="tc-02-odc",1,0)</f>
        <v>0</v>
      </c>
      <c r="DA22" s="38">
        <f>IF($F22="tc-02-odc",1,0)</f>
        <v>0</v>
      </c>
      <c r="DB22" s="38">
        <f>IF($F22="tc-02-odc",1,0)</f>
        <v>0</v>
      </c>
      <c r="DC22" s="38">
        <f>IF($F22="tc-02-odc",1,0)</f>
        <v>0</v>
      </c>
      <c r="DD22" s="38">
        <f>IF($F22="tc-02-odc",1,0)</f>
        <v>0</v>
      </c>
      <c r="DE22" s="38">
        <f>IF($F22="tc-02-odc",1,0)</f>
        <v>0</v>
      </c>
      <c r="DF22" s="38">
        <f>IF($F22="tc-02-odc",1,0)</f>
        <v>0</v>
      </c>
      <c r="DG22" s="38">
        <f>IF($F22="tc-02-odc",1,0)</f>
        <v>0</v>
      </c>
      <c r="DH22" s="38">
        <f>IF($F22="tc-02-odc",1,0)</f>
        <v>0</v>
      </c>
      <c r="DI22" s="38">
        <f>IF($F22="tc-02-odc",1,0)</f>
        <v>0</v>
      </c>
      <c r="DJ22" s="38">
        <f>IF($F22="tc-02-odc",1,0)</f>
        <v>0</v>
      </c>
      <c r="DK22" s="38">
        <f>IF($F22="tc-02-odc",1,0)</f>
        <v>0</v>
      </c>
      <c r="DL22" s="38">
        <f>IF($F22="tc-02-odc",1,0)</f>
        <v>0</v>
      </c>
      <c r="DM22" s="38">
        <f>IF($F22="tc-02-odc",1,0)</f>
        <v>0</v>
      </c>
      <c r="DN22" s="38">
        <f>IF($F22="tc-02-odc",1,0)</f>
        <v>0</v>
      </c>
      <c r="DO22" s="38">
        <f>IF($F22="tc-02-odc",1,0)</f>
        <v>0</v>
      </c>
      <c r="DP22" s="38">
        <f>IF($F22="tc-02-odc",1,0)</f>
        <v>0</v>
      </c>
      <c r="DQ22" s="38">
        <f>IF($F22="tc-02-odc",1,0)</f>
        <v>0</v>
      </c>
      <c r="DR22" s="38">
        <f>IF($F22="tc-02-odc",1,0)</f>
        <v>0</v>
      </c>
      <c r="DS22" s="38">
        <f>IF($F22="tc-02-odc",1,0)</f>
        <v>0</v>
      </c>
      <c r="DT22" s="38">
        <f>IF($F22="tc-02-odc",1,0)</f>
        <v>0</v>
      </c>
      <c r="DU22" s="38">
        <f>IF($F22="tc-02-odc",1,0)</f>
        <v>0</v>
      </c>
      <c r="DV22" s="38">
        <f>IF($F22="tc-02-odc",1,0)</f>
        <v>0</v>
      </c>
      <c r="DW22" s="38">
        <f>IF($F22="tc-02-odc",1,0)</f>
        <v>0</v>
      </c>
      <c r="DX22" s="38">
        <f>IF($F22="tc-02-odc",1,0)</f>
        <v>0</v>
      </c>
      <c r="DY22" s="38">
        <f>IF($F22="tc-02-odc",1,0)</f>
        <v>0</v>
      </c>
      <c r="DZ22" s="38">
        <f>IF($F22="tc-02-odc",1,0)</f>
        <v>0</v>
      </c>
      <c r="EA22" s="38">
        <f>IF($F22="tc-02-odc",1,0)</f>
        <v>0</v>
      </c>
      <c r="EB22" s="38">
        <f>IF($F22="tc-02-odc",1,0)</f>
        <v>0</v>
      </c>
      <c r="EC22" s="38">
        <f>IF($F22="tc-02-odc",1,0)</f>
        <v>0</v>
      </c>
      <c r="ED22" s="38">
        <f>IF($F22="tc-02-odc",1,0)</f>
        <v>0</v>
      </c>
      <c r="EE22" s="38">
        <f>IF($F22="DCD-PVC-1",1,0)</f>
        <v>0</v>
      </c>
      <c r="EF22" s="38">
        <f>IF($F22="tc-02-odc",1,0)</f>
        <v>0</v>
      </c>
      <c r="EG22" s="38">
        <f>IF($F22="tc-02-odc",1,0)</f>
        <v>0</v>
      </c>
      <c r="EH22" s="38">
        <f>IF($F22="tc-02-odc",1,0)</f>
        <v>0</v>
      </c>
      <c r="EI22" s="38">
        <f>IF($F22="tc-02-odc",1,0)</f>
        <v>0</v>
      </c>
      <c r="EJ22" s="38">
        <f>IF($F22="tc-02-odc",1,0)</f>
        <v>0</v>
      </c>
      <c r="EK22" s="38">
        <f>IF($F22="tc-02-odc",1,0)</f>
        <v>0</v>
      </c>
      <c r="EL22" s="38">
        <f>IF($F22="tc-02-odc",1,0)</f>
        <v>0</v>
      </c>
      <c r="EM22" s="38">
        <f>IF($F22="tc-02-odc",1,0)</f>
        <v>0</v>
      </c>
      <c r="EN22" s="38">
        <f>IF($F22="DD-HDPE-40-1",$E22,0)</f>
        <v>0</v>
      </c>
      <c r="EO22" s="38">
        <f>IF($F22="DD-HDPE-40-1",$E22,0)</f>
        <v>0</v>
      </c>
      <c r="EP22" s="38">
        <f>IF($F22="DD-HDPE-50-1",$E22,0)</f>
        <v>0</v>
      </c>
      <c r="EQ22" s="38"/>
      <c r="ER22" s="38"/>
      <c r="ES22" s="38"/>
      <c r="ET22" s="38"/>
      <c r="EU22" s="38"/>
      <c r="EV22" s="38"/>
      <c r="EW22" s="38"/>
      <c r="EX22" s="38"/>
      <c r="EY22" s="38"/>
      <c r="EZ22" s="38"/>
      <c r="FA22" s="38"/>
      <c r="FB22" s="38"/>
      <c r="FC22" s="38"/>
      <c r="FD22" s="38"/>
      <c r="FE22" s="38"/>
      <c r="FF22" s="94"/>
      <c r="FG22" s="94"/>
      <c r="FH22" s="94"/>
      <c r="FI22" s="94"/>
      <c r="FJ22" s="94"/>
      <c r="FK22" s="94"/>
      <c r="FL22" s="94"/>
      <c r="FM22" s="94"/>
      <c r="FN22" s="94"/>
      <c r="FO22" s="94"/>
      <c r="FP22" s="94"/>
      <c r="FQ22" s="94"/>
      <c r="FR22" s="94"/>
      <c r="FS22" s="94"/>
      <c r="FT22" s="94"/>
      <c r="FU22" s="94"/>
      <c r="FV22" s="94"/>
      <c r="FW22" s="94"/>
      <c r="FX22" s="94"/>
      <c r="FY22" s="94"/>
      <c r="FZ22" s="94"/>
      <c r="GA22" s="94"/>
      <c r="GB22" s="94"/>
      <c r="GC22" s="94"/>
      <c r="GD22" s="94"/>
      <c r="GE22" s="94"/>
      <c r="GF22" s="94"/>
      <c r="GG22" s="94"/>
      <c r="GH22" s="94"/>
      <c r="GI22" s="94"/>
      <c r="GJ22" s="94"/>
      <c r="GK22" s="94"/>
      <c r="GL22" s="94"/>
      <c r="GM22" s="94"/>
      <c r="GN22" s="94"/>
      <c r="GO22" s="94"/>
      <c r="GP22" s="94"/>
      <c r="GQ22" s="94"/>
      <c r="GR22" s="94"/>
      <c r="GS22" s="94"/>
      <c r="GT22" s="94"/>
      <c r="GU22" s="94"/>
      <c r="GV22" s="94"/>
      <c r="GW22" s="94"/>
      <c r="GX22" s="94"/>
      <c r="GY22" s="94"/>
      <c r="GZ22" s="94"/>
      <c r="HA22" s="76"/>
      <c r="HB22" s="77"/>
      <c r="HC22" s="74"/>
    </row>
    <row r="23" spans="1:212" customHeight="1" ht="17.25" s="4" customFormat="1">
      <c r="A23" s="63"/>
      <c r="B23" s="31"/>
      <c r="C23" s="88"/>
      <c r="D23" s="88"/>
      <c r="E23" s="92"/>
      <c r="F23" s="93"/>
      <c r="G23" s="37">
        <f>IF($F23="SLACK-12CORE",$E23,0)</f>
        <v>0</v>
      </c>
      <c r="H23" s="37">
        <f>IF($F23="Slack Support HH",1,0)</f>
        <v>0</v>
      </c>
      <c r="I23" s="38">
        <f>IF($F23="SLACK-24CORE",$E23,0)</f>
        <v>0</v>
      </c>
      <c r="J23" s="38">
        <f>IF($F23="SLACK-48CORE",$E23,0)</f>
        <v>0</v>
      </c>
      <c r="K23" s="38">
        <f>IF($F23="SLACK-96CORE",$E23,0)</f>
        <v>0</v>
      </c>
      <c r="L23" s="38">
        <f>IF($F23="Slack Support HH",$E23,0)</f>
        <v>0</v>
      </c>
      <c r="M23" s="38">
        <f>IF($F23="HH-PIT-80",1,0)</f>
        <v>0</v>
      </c>
      <c r="N23" s="38">
        <f>IF($F23="AC-OF-SM-12D",$E23,0)</f>
        <v>0</v>
      </c>
      <c r="O23" s="38">
        <f>IF($F23="AC-OF-SM-24D",$E23,0)</f>
        <v>0</v>
      </c>
      <c r="P23" s="38">
        <f>IF($F23="AC-OF-SM-48D",$E23,0)</f>
        <v>0</v>
      </c>
      <c r="Q23" s="38">
        <f>IF($F23="AC-OF-SM-96D",$E23,0)</f>
        <v>0</v>
      </c>
      <c r="R23" s="38">
        <f>IF($F23="AC-OF-SM-ADSS-12D",$E23,0)</f>
        <v>0</v>
      </c>
      <c r="S23" s="38">
        <f>IF($F23="AC-OF-SM-12-SC",$E23,0)</f>
        <v>0</v>
      </c>
      <c r="T23" s="38">
        <f>IF($F23="AC-OF-SM-24-SC",$E23,0)</f>
        <v>0</v>
      </c>
      <c r="U23" s="38">
        <f>IF($F23="AC-OF-SM-48-SC",$E23,0)</f>
        <v>0</v>
      </c>
      <c r="V23" s="38">
        <f>IF($F23="AC-OF-SM-96-SC",$E23,0)</f>
        <v>0</v>
      </c>
      <c r="W23" s="38">
        <f>IF($F23="DC-OF-SM-144D",$E23,0)</f>
        <v>0</v>
      </c>
      <c r="X23" s="38">
        <f>IF($F23="DC-OF-SM-288D",$E23,0)</f>
        <v>0</v>
      </c>
      <c r="Y23" s="38">
        <f>IF($F23="AC-OF-SM-12-SC",$E23,0)</f>
        <v>0</v>
      </c>
      <c r="Z23" s="38">
        <f>IF($F23="SC-OF-SM-12",1,0)</f>
        <v>0</v>
      </c>
      <c r="AA23" s="38">
        <f>IF($F23="SC-OF-SM-12",1,0)</f>
        <v>0</v>
      </c>
      <c r="AB23" s="38">
        <f>IF($F23="SC-OF-SM-12",1,0)</f>
        <v>0</v>
      </c>
      <c r="AC23" s="38">
        <f>IF($F23="SC-OF-SM-12",1,0)</f>
        <v>0</v>
      </c>
      <c r="AD23" s="38">
        <f>IF($F23="SC-OF-SM-12",1,0)</f>
        <v>0</v>
      </c>
      <c r="AE23" s="38">
        <f>IF($F23="SC-OF-SM-24",1,0)</f>
        <v>0</v>
      </c>
      <c r="AF23" s="38">
        <f>IF($F23="OS-SM-1",$E23,0)</f>
        <v>0</v>
      </c>
      <c r="AG23" s="38">
        <f>IF($F23="OS-SM-1",$E23,0)</f>
        <v>0</v>
      </c>
      <c r="AH23" s="38">
        <f>IF($F23="OS-SM-1",$E23,0)</f>
        <v>0</v>
      </c>
      <c r="AI23" s="38">
        <f>IF($F23="OS-SM-1",$E23,0)</f>
        <v>0</v>
      </c>
      <c r="AJ23" s="38">
        <f>IF($F23="OS-SM-1",$E23,0)</f>
        <v>0</v>
      </c>
      <c r="AK23" s="38">
        <v>50</v>
      </c>
      <c r="AL23" s="38">
        <f>IF($F23="OS-SM-1",$E23,0)</f>
        <v>0</v>
      </c>
      <c r="AM23" s="38">
        <f>IF($F23="OS-SM-1",$E23,0)</f>
        <v>0</v>
      </c>
      <c r="AN23" s="38">
        <f>IF($F23="OS-SM-1",$E23,0)</f>
        <v>0</v>
      </c>
      <c r="AO23" s="38">
        <f>IF($F23="OS-SM-1",$E23,0)</f>
        <v>0</v>
      </c>
      <c r="AP23" s="38">
        <v>50</v>
      </c>
      <c r="AQ23" s="38">
        <f>IF($F23="OS-SM-1",$E23,0)</f>
        <v>0</v>
      </c>
      <c r="AR23" s="38">
        <f>IF($F23="OS-SM-1",$E23,0)</f>
        <v>0</v>
      </c>
      <c r="AS23" s="38">
        <f>IF($F23="OS-SM-1",$E23,0)</f>
        <v>0</v>
      </c>
      <c r="AT23" s="38">
        <v>50</v>
      </c>
      <c r="AU23" s="38">
        <f>IF($F23="OS-SM-1",$E23,0)</f>
        <v>0</v>
      </c>
      <c r="AV23" s="38">
        <v>50</v>
      </c>
      <c r="AW23" s="38">
        <f>IF($F23="OS-SM-1",$E23,0)</f>
        <v>0</v>
      </c>
      <c r="AX23" s="38">
        <f>IF($F23="OS-SM-1",$E23,0)</f>
        <v>0</v>
      </c>
      <c r="AY23" s="38">
        <v>50</v>
      </c>
      <c r="AZ23" s="38">
        <f>IF($F23="OS-SM-1",$E23,0)</f>
        <v>0</v>
      </c>
      <c r="BA23" s="38">
        <f>IF($F23="OS-SM-1",$E23,0)</f>
        <v>0</v>
      </c>
      <c r="BB23" s="38">
        <f>IF($F23="OS-SM-1",$E23,0)</f>
        <v>0</v>
      </c>
      <c r="BC23" s="38">
        <f>IF($F23="OS-SM-1",$E23,0)</f>
        <v>0</v>
      </c>
      <c r="BD23" s="38">
        <f>IF($F23="OS-SM-1",$E23,0)</f>
        <v>0</v>
      </c>
      <c r="BE23" s="38">
        <f>IF($F23="OS-SM-1",$E23,0)</f>
        <v>0</v>
      </c>
      <c r="BF23" s="38">
        <f>IF($F23="OS-SM-1",$E23,0)</f>
        <v>0</v>
      </c>
      <c r="BG23" s="38">
        <f>IF($F23="PC-UPC-652-2",$E23,0)</f>
        <v>0</v>
      </c>
      <c r="BH23" s="38">
        <f>IF($F23="PC-APC/UPC-652-A1",$E23,0)</f>
        <v>0</v>
      </c>
      <c r="BI23" s="38">
        <f>IF($F23="OS-SM-1",$E23,0)</f>
        <v>0</v>
      </c>
      <c r="BJ23" s="38">
        <f>IF($F23="ODC-C-144",$E23,0)</f>
        <v>0</v>
      </c>
      <c r="BK23" s="38">
        <f>IF($F23="ODC-C-288",1,0)</f>
        <v>0</v>
      </c>
      <c r="BL23" s="38">
        <f>IF($F23="ODC-PROT-144",1,0)</f>
        <v>0</v>
      </c>
      <c r="BM23" s="38">
        <f>IF($F23="ODC-PROT-288",1,0)</f>
        <v>0</v>
      </c>
      <c r="BN23" s="38">
        <f>IF($F23="ODP-CA-8",1,0)</f>
        <v>0</v>
      </c>
      <c r="BO23" s="38">
        <f>IF($F23="ODP-CA-16",1,0)</f>
        <v>0</v>
      </c>
      <c r="BP23" s="38">
        <f>IF($F23="ODP-A-8",1,0)</f>
        <v>0</v>
      </c>
      <c r="BQ23" s="38">
        <f>IF($F23="ODP-Solid-PB-8",1,0)</f>
        <v>0</v>
      </c>
      <c r="BR23" s="38">
        <f>IF($F23="ODP-Solid-PB-16",1,0)</f>
        <v>0</v>
      </c>
      <c r="BS23" s="38">
        <f>IF($F23="ODP-Solid-PB-8 AS",1,0)</f>
        <v>0</v>
      </c>
      <c r="BT23" s="38">
        <f>IF($F23="ODP-Solid-PB-16 AS",1,0)</f>
        <v>0</v>
      </c>
      <c r="BU23" s="38">
        <f>IF($F23="ODP-PL-16",1,0)</f>
        <v>0</v>
      </c>
      <c r="BV23" s="38">
        <f>IF($F23="TC-SM-12",1,0)</f>
        <v>0</v>
      </c>
      <c r="BW23" s="38">
        <f>IF($F23="TC-SM-12",1,0)</f>
        <v>0</v>
      </c>
      <c r="BX23" s="38">
        <f>IF($F23="TC-SM-48",1,0)</f>
        <v>0</v>
      </c>
      <c r="BY23" s="38">
        <f>IF($F23="TC-SM-96",1,0)</f>
        <v>0</v>
      </c>
      <c r="BZ23" s="38">
        <f>IF($F23="TC-SM-96",1,0)</f>
        <v>0</v>
      </c>
      <c r="CA23" s="38">
        <f>IF($F23="TC-SM-96",1,0)</f>
        <v>0</v>
      </c>
      <c r="CB23" s="38">
        <f>IF($F23="TC-SM-96",1,0)</f>
        <v>0</v>
      </c>
      <c r="CC23" s="38">
        <f>IF($F23="TC-SM-96",1,0)</f>
        <v>0</v>
      </c>
      <c r="CD23" s="38">
        <f>IF($F23="TC-SM-96",1,0)</f>
        <v>0</v>
      </c>
      <c r="CE23" s="38">
        <f>IF($F23="TC-SM-144",1,0)</f>
        <v>0</v>
      </c>
      <c r="CF23" s="38">
        <f>IF($F23="PS-1-4-ODC",$E23,0)</f>
        <v>0</v>
      </c>
      <c r="CG23" s="38">
        <f>IF($F23="PS-1-8-ODP",$E23,0)</f>
        <v>0</v>
      </c>
      <c r="CH23" s="38">
        <f>IF($F23="PS-1-16-ODP",1,0)</f>
        <v>0</v>
      </c>
      <c r="CI23" s="38">
        <f>IF($F23="TC-SM-96",1,0)</f>
        <v>0</v>
      </c>
      <c r="CJ23" s="38">
        <f>IF($F23="TC-SM-96",1,0)</f>
        <v>0</v>
      </c>
      <c r="CK23" s="38">
        <f>IF($F23="SITAC",1,0)</f>
        <v>0</v>
      </c>
      <c r="CL23" s="38">
        <f>IF($F23="PU-S7.0-140",1,0)</f>
        <v>0</v>
      </c>
      <c r="CM23" s="38">
        <f>IF($F23="PU-S7.0-400NM ",1,0)</f>
        <v>0</v>
      </c>
      <c r="CN23" s="38">
        <f>IF($F23="PU-S9.0-140",1,0)</f>
        <v>0</v>
      </c>
      <c r="CO23" s="38"/>
      <c r="CP23" s="38"/>
      <c r="CQ23" s="38"/>
      <c r="CR23" s="38">
        <f>IF($F23="PU-AS-SC",1,0)</f>
        <v>0</v>
      </c>
      <c r="CS23" s="38">
        <f>IF($F23="PU-AS-HL",2,0)</f>
        <v>0</v>
      </c>
      <c r="CT23" s="38">
        <f>IF($F23="STAINLESS BELT",1,0)</f>
        <v>0</v>
      </c>
      <c r="CU23" s="38">
        <f>IF($F23="PU-AS",1,0)</f>
        <v>0</v>
      </c>
      <c r="CV23" s="38">
        <f>IF($F23="GB-G1",1,0)</f>
        <v>0</v>
      </c>
      <c r="CW23" s="38">
        <f>IF($F23="GB-G3",1,0)</f>
        <v>0</v>
      </c>
      <c r="CX23" s="38"/>
      <c r="CY23" s="38">
        <f>IF($F23="TC-02-ODC",$E23,0)</f>
        <v>0</v>
      </c>
      <c r="CZ23" s="38">
        <f>IF($F23="tc-02-odc",1,0)</f>
        <v>0</v>
      </c>
      <c r="DA23" s="38">
        <f>IF($F23="tc-02-odc",1,0)</f>
        <v>0</v>
      </c>
      <c r="DB23" s="38">
        <f>IF($F23="tc-02-odc",1,0)</f>
        <v>0</v>
      </c>
      <c r="DC23" s="38">
        <f>IF($F23="tc-02-odc",1,0)</f>
        <v>0</v>
      </c>
      <c r="DD23" s="38">
        <f>IF($F23="tc-02-odc",1,0)</f>
        <v>0</v>
      </c>
      <c r="DE23" s="38">
        <f>IF($F23="tc-02-odc",1,0)</f>
        <v>0</v>
      </c>
      <c r="DF23" s="38">
        <f>IF($F23="tc-02-odc",1,0)</f>
        <v>0</v>
      </c>
      <c r="DG23" s="38">
        <f>IF($F23="tc-02-odc",1,0)</f>
        <v>0</v>
      </c>
      <c r="DH23" s="38">
        <f>IF($F23="tc-02-odc",1,0)</f>
        <v>0</v>
      </c>
      <c r="DI23" s="38">
        <f>IF($F23="tc-02-odc",1,0)</f>
        <v>0</v>
      </c>
      <c r="DJ23" s="38">
        <f>IF($F23="tc-02-odc",1,0)</f>
        <v>0</v>
      </c>
      <c r="DK23" s="38">
        <f>IF($F23="tc-02-odc",1,0)</f>
        <v>0</v>
      </c>
      <c r="DL23" s="38">
        <f>IF($F23="tc-02-odc",1,0)</f>
        <v>0</v>
      </c>
      <c r="DM23" s="38">
        <f>IF($F23="tc-02-odc",1,0)</f>
        <v>0</v>
      </c>
      <c r="DN23" s="38">
        <f>IF($F23="tc-02-odc",1,0)</f>
        <v>0</v>
      </c>
      <c r="DO23" s="38">
        <f>IF($F23="tc-02-odc",1,0)</f>
        <v>0</v>
      </c>
      <c r="DP23" s="38">
        <f>IF($F23="tc-02-odc",1,0)</f>
        <v>0</v>
      </c>
      <c r="DQ23" s="38">
        <f>IF($F23="tc-02-odc",1,0)</f>
        <v>0</v>
      </c>
      <c r="DR23" s="38">
        <f>IF($F23="tc-02-odc",1,0)</f>
        <v>0</v>
      </c>
      <c r="DS23" s="38">
        <f>IF($F23="tc-02-odc",1,0)</f>
        <v>0</v>
      </c>
      <c r="DT23" s="38">
        <f>IF($F23="tc-02-odc",1,0)</f>
        <v>0</v>
      </c>
      <c r="DU23" s="38">
        <f>IF($F23="tc-02-odc",1,0)</f>
        <v>0</v>
      </c>
      <c r="DV23" s="38">
        <f>IF($F23="tc-02-odc",1,0)</f>
        <v>0</v>
      </c>
      <c r="DW23" s="38">
        <f>IF($F23="tc-02-odc",1,0)</f>
        <v>0</v>
      </c>
      <c r="DX23" s="38">
        <f>IF($F23="tc-02-odc",1,0)</f>
        <v>0</v>
      </c>
      <c r="DY23" s="38">
        <f>IF($F23="tc-02-odc",1,0)</f>
        <v>0</v>
      </c>
      <c r="DZ23" s="38">
        <f>IF($F23="tc-02-odc",1,0)</f>
        <v>0</v>
      </c>
      <c r="EA23" s="38">
        <f>IF($F23="tc-02-odc",1,0)</f>
        <v>0</v>
      </c>
      <c r="EB23" s="38">
        <f>IF($F23="tc-02-odc",1,0)</f>
        <v>0</v>
      </c>
      <c r="EC23" s="38">
        <f>IF($F23="tc-02-odc",1,0)</f>
        <v>0</v>
      </c>
      <c r="ED23" s="38">
        <f>IF($F23="tc-02-odc",1,0)</f>
        <v>0</v>
      </c>
      <c r="EE23" s="38">
        <f>IF($F23="DCD-PVC-1",1,0)</f>
        <v>0</v>
      </c>
      <c r="EF23" s="38">
        <f>IF($F23="tc-02-odc",1,0)</f>
        <v>0</v>
      </c>
      <c r="EG23" s="38">
        <f>IF($F23="tc-02-odc",1,0)</f>
        <v>0</v>
      </c>
      <c r="EH23" s="38">
        <f>IF($F23="tc-02-odc",1,0)</f>
        <v>0</v>
      </c>
      <c r="EI23" s="38">
        <f>IF($F23="tc-02-odc",1,0)</f>
        <v>0</v>
      </c>
      <c r="EJ23" s="38">
        <f>IF($F23="tc-02-odc",1,0)</f>
        <v>0</v>
      </c>
      <c r="EK23" s="38">
        <f>IF($F23="tc-02-odc",1,0)</f>
        <v>0</v>
      </c>
      <c r="EL23" s="38">
        <f>IF($F23="tc-02-odc",1,0)</f>
        <v>0</v>
      </c>
      <c r="EM23" s="38">
        <f>IF($F23="tc-02-odc",1,0)</f>
        <v>0</v>
      </c>
      <c r="EN23" s="38">
        <f>IF($F23="DD-HDPE-40-1",$E23,0)</f>
        <v>0</v>
      </c>
      <c r="EO23" s="38">
        <f>IF($F23="DD-HDPE-40-1",$E23,0)</f>
        <v>0</v>
      </c>
      <c r="EP23" s="38">
        <f>IF($F23="DD-HDPE-50-1",$E23,0)</f>
        <v>0</v>
      </c>
      <c r="EQ23" s="38"/>
      <c r="ER23" s="38"/>
      <c r="ES23" s="38"/>
      <c r="ET23" s="38"/>
      <c r="EU23" s="38"/>
      <c r="EV23" s="38"/>
      <c r="EW23" s="38"/>
      <c r="EX23" s="38"/>
      <c r="EY23" s="38"/>
      <c r="EZ23" s="38"/>
      <c r="FA23" s="38"/>
      <c r="FB23" s="38"/>
      <c r="FC23" s="38"/>
      <c r="FD23" s="38"/>
      <c r="FE23" s="38"/>
      <c r="FF23" s="94"/>
      <c r="FG23" s="94"/>
      <c r="FH23" s="94"/>
      <c r="FI23" s="94"/>
      <c r="FJ23" s="94"/>
      <c r="FK23" s="94"/>
      <c r="FL23" s="94"/>
      <c r="FM23" s="94"/>
      <c r="FN23" s="94"/>
      <c r="FO23" s="94"/>
      <c r="FP23" s="94"/>
      <c r="FQ23" s="94"/>
      <c r="FR23" s="94"/>
      <c r="FS23" s="94"/>
      <c r="FT23" s="94"/>
      <c r="FU23" s="94"/>
      <c r="FV23" s="94"/>
      <c r="FW23" s="94"/>
      <c r="FX23" s="94"/>
      <c r="FY23" s="94"/>
      <c r="FZ23" s="94"/>
      <c r="GA23" s="94"/>
      <c r="GB23" s="94"/>
      <c r="GC23" s="94"/>
      <c r="GD23" s="94"/>
      <c r="GE23" s="94"/>
      <c r="GF23" s="94"/>
      <c r="GG23" s="94"/>
      <c r="GH23" s="94"/>
      <c r="GI23" s="94"/>
      <c r="GJ23" s="94"/>
      <c r="GK23" s="94"/>
      <c r="GL23" s="94"/>
      <c r="GM23" s="94"/>
      <c r="GN23" s="94"/>
      <c r="GO23" s="94"/>
      <c r="GP23" s="94"/>
      <c r="GQ23" s="94"/>
      <c r="GR23" s="94"/>
      <c r="GS23" s="94"/>
      <c r="GT23" s="94"/>
      <c r="GU23" s="94"/>
      <c r="GV23" s="94"/>
      <c r="GW23" s="94"/>
      <c r="GX23" s="94"/>
      <c r="GY23" s="94"/>
      <c r="GZ23" s="94"/>
      <c r="HA23" s="76"/>
      <c r="HB23" s="77"/>
      <c r="HC23" s="74"/>
    </row>
    <row r="24" spans="1:212" customHeight="1" ht="17.25" s="4" customFormat="1">
      <c r="A24" s="63"/>
      <c r="B24" s="31"/>
      <c r="C24" s="88"/>
      <c r="D24" s="88"/>
      <c r="E24" s="92"/>
      <c r="F24" s="93"/>
      <c r="G24" s="37">
        <f>IF($F24="SLACK-12CORE",$E24,0)</f>
        <v>0</v>
      </c>
      <c r="H24" s="37">
        <f>IF($F24="Slack Support HH",1,0)</f>
        <v>0</v>
      </c>
      <c r="I24" s="38">
        <f>IF($F24="SLACK-24CORE",$E24,0)</f>
        <v>0</v>
      </c>
      <c r="J24" s="38">
        <f>IF($F24="SLACK-48CORE",$E24,0)</f>
        <v>0</v>
      </c>
      <c r="K24" s="38">
        <f>IF($F24="SLACK-96CORE",$E24,0)</f>
        <v>0</v>
      </c>
      <c r="L24" s="38">
        <f>IF($F24="Slack Support HH",$E24,0)</f>
        <v>0</v>
      </c>
      <c r="M24" s="38">
        <f>IF($F24="HH-PIT-80",1,0)</f>
        <v>0</v>
      </c>
      <c r="N24" s="38">
        <f>IF($F24="AC-OF-SM-12D",$E24,0)</f>
        <v>0</v>
      </c>
      <c r="O24" s="38">
        <f>IF($F24="AC-OF-SM-24D",$E24,0)</f>
        <v>0</v>
      </c>
      <c r="P24" s="38">
        <f>IF($F24="AC-OF-SM-48D",$E24,0)</f>
        <v>0</v>
      </c>
      <c r="Q24" s="38">
        <f>IF($F24="AC-OF-SM-96D",$E24,0)</f>
        <v>0</v>
      </c>
      <c r="R24" s="38">
        <f>IF($F24="AC-OF-SM-ADSS-12D",$E24,0)</f>
        <v>0</v>
      </c>
      <c r="S24" s="38">
        <f>IF($F24="AC-OF-SM-12-SC",$E24,0)</f>
        <v>0</v>
      </c>
      <c r="T24" s="38">
        <f>IF($F24="AC-OF-SM-24-SC",$E24,0)</f>
        <v>0</v>
      </c>
      <c r="U24" s="38">
        <f>IF($F24="AC-OF-SM-48-SC",$E24,0)</f>
        <v>0</v>
      </c>
      <c r="V24" s="38">
        <f>IF($F24="AC-OF-SM-96-SC",$E24,0)</f>
        <v>0</v>
      </c>
      <c r="W24" s="38">
        <f>IF($F24="DC-OF-SM-144D",$E24,0)</f>
        <v>0</v>
      </c>
      <c r="X24" s="38">
        <f>IF($F24="DC-OF-SM-288D",$E24,0)</f>
        <v>0</v>
      </c>
      <c r="Y24" s="38">
        <f>IF($F24="AC-OF-SM-12-SC",$E24,0)</f>
        <v>0</v>
      </c>
      <c r="Z24" s="38">
        <f>IF($F24="SC-OF-SM-12",1,0)</f>
        <v>0</v>
      </c>
      <c r="AA24" s="38">
        <f>IF($F24="SC-OF-SM-12",1,0)</f>
        <v>0</v>
      </c>
      <c r="AB24" s="38">
        <f>IF($F24="SC-OF-SM-12",1,0)</f>
        <v>0</v>
      </c>
      <c r="AC24" s="38">
        <f>IF($F24="SC-OF-SM-12",1,0)</f>
        <v>0</v>
      </c>
      <c r="AD24" s="38">
        <f>IF($F24="SC-OF-SM-12",1,0)</f>
        <v>0</v>
      </c>
      <c r="AE24" s="38">
        <f>IF($F24="SC-OF-SM-24",1,0)</f>
        <v>0</v>
      </c>
      <c r="AF24" s="38">
        <f>IF($F24="OS-SM-1",$E24,0)</f>
        <v>0</v>
      </c>
      <c r="AG24" s="38">
        <f>IF($F24="OS-SM-1",$E24,0)</f>
        <v>0</v>
      </c>
      <c r="AH24" s="38">
        <f>IF($F24="OS-SM-1",$E24,0)</f>
        <v>0</v>
      </c>
      <c r="AI24" s="38">
        <f>IF($F24="OS-SM-1",$E24,0)</f>
        <v>0</v>
      </c>
      <c r="AJ24" s="38">
        <f>IF($F24="OS-SM-1",$E24,0)</f>
        <v>0</v>
      </c>
      <c r="AK24" s="38">
        <v>51</v>
      </c>
      <c r="AL24" s="38">
        <f>IF($F24="OS-SM-1",$E24,0)</f>
        <v>0</v>
      </c>
      <c r="AM24" s="38">
        <f>IF($F24="OS-SM-1",$E24,0)</f>
        <v>0</v>
      </c>
      <c r="AN24" s="38">
        <f>IF($F24="OS-SM-1",$E24,0)</f>
        <v>0</v>
      </c>
      <c r="AO24" s="38">
        <f>IF($F24="OS-SM-1",$E24,0)</f>
        <v>0</v>
      </c>
      <c r="AP24" s="38">
        <v>51</v>
      </c>
      <c r="AQ24" s="38">
        <f>IF($F24="OS-SM-1",$E24,0)</f>
        <v>0</v>
      </c>
      <c r="AR24" s="38">
        <f>IF($F24="OS-SM-1",$E24,0)</f>
        <v>0</v>
      </c>
      <c r="AS24" s="38">
        <f>IF($F24="OS-SM-1",$E24,0)</f>
        <v>0</v>
      </c>
      <c r="AT24" s="38">
        <v>51</v>
      </c>
      <c r="AU24" s="38">
        <f>IF($F24="OS-SM-1",$E24,0)</f>
        <v>0</v>
      </c>
      <c r="AV24" s="38">
        <v>51</v>
      </c>
      <c r="AW24" s="38">
        <f>IF($F24="OS-SM-1",$E24,0)</f>
        <v>0</v>
      </c>
      <c r="AX24" s="38">
        <f>IF($F24="OS-SM-1",$E24,0)</f>
        <v>0</v>
      </c>
      <c r="AY24" s="38">
        <v>51</v>
      </c>
      <c r="AZ24" s="38">
        <f>IF($F24="OS-SM-1",$E24,0)</f>
        <v>0</v>
      </c>
      <c r="BA24" s="38">
        <f>IF($F24="OS-SM-1",$E24,0)</f>
        <v>0</v>
      </c>
      <c r="BB24" s="38">
        <f>IF($F24="OS-SM-1",$E24,0)</f>
        <v>0</v>
      </c>
      <c r="BC24" s="38">
        <f>IF($F24="OS-SM-1",$E24,0)</f>
        <v>0</v>
      </c>
      <c r="BD24" s="38">
        <f>IF($F24="OS-SM-1",$E24,0)</f>
        <v>0</v>
      </c>
      <c r="BE24" s="38">
        <f>IF($F24="OS-SM-1",$E24,0)</f>
        <v>0</v>
      </c>
      <c r="BF24" s="38">
        <f>IF($F24="OS-SM-1",$E24,0)</f>
        <v>0</v>
      </c>
      <c r="BG24" s="38">
        <f>IF($F24="PC-UPC-652-2",$E24,0)</f>
        <v>0</v>
      </c>
      <c r="BH24" s="38">
        <f>IF($F24="PC-APC/UPC-652-A1",$E24,0)</f>
        <v>0</v>
      </c>
      <c r="BI24" s="38">
        <f>IF($F24="OS-SM-1",$E24,0)</f>
        <v>0</v>
      </c>
      <c r="BJ24" s="38">
        <f>IF($F24="ODC-C-144",$E24,0)</f>
        <v>0</v>
      </c>
      <c r="BK24" s="38">
        <f>IF($F24="ODC-C-288",1,0)</f>
        <v>0</v>
      </c>
      <c r="BL24" s="38">
        <f>IF($F24="ODC-PROT-144",1,0)</f>
        <v>0</v>
      </c>
      <c r="BM24" s="38">
        <f>IF($F24="ODC-PROT-288",1,0)</f>
        <v>0</v>
      </c>
      <c r="BN24" s="38">
        <f>IF($F24="ODP-CA-8",1,0)</f>
        <v>0</v>
      </c>
      <c r="BO24" s="38">
        <f>IF($F24="ODP-CA-16",1,0)</f>
        <v>0</v>
      </c>
      <c r="BP24" s="38">
        <f>IF($F24="ODP-A-8",1,0)</f>
        <v>0</v>
      </c>
      <c r="BQ24" s="38">
        <f>IF($F24="ODP-Solid-PB-8",1,0)</f>
        <v>0</v>
      </c>
      <c r="BR24" s="38">
        <f>IF($F24="ODP-Solid-PB-16",1,0)</f>
        <v>0</v>
      </c>
      <c r="BS24" s="38">
        <f>IF($F24="ODP-Solid-PB-8 AS",1,0)</f>
        <v>0</v>
      </c>
      <c r="BT24" s="38">
        <f>IF($F24="ODP-Solid-PB-16 AS",1,0)</f>
        <v>0</v>
      </c>
      <c r="BU24" s="38">
        <f>IF($F24="ODP-PL-16",1,0)</f>
        <v>0</v>
      </c>
      <c r="BV24" s="38">
        <f>IF($F24="TC-SM-12",1,0)</f>
        <v>0</v>
      </c>
      <c r="BW24" s="38">
        <f>IF($F24="TC-SM-12",1,0)</f>
        <v>0</v>
      </c>
      <c r="BX24" s="38">
        <f>IF($F24="TC-SM-48",1,0)</f>
        <v>0</v>
      </c>
      <c r="BY24" s="38">
        <f>IF($F24="TC-SM-96",1,0)</f>
        <v>0</v>
      </c>
      <c r="BZ24" s="38">
        <f>IF($F24="TC-SM-96",1,0)</f>
        <v>0</v>
      </c>
      <c r="CA24" s="38">
        <f>IF($F24="TC-SM-96",1,0)</f>
        <v>0</v>
      </c>
      <c r="CB24" s="38">
        <f>IF($F24="TC-SM-96",1,0)</f>
        <v>0</v>
      </c>
      <c r="CC24" s="38">
        <f>IF($F24="TC-SM-96",1,0)</f>
        <v>0</v>
      </c>
      <c r="CD24" s="38">
        <f>IF($F24="TC-SM-96",1,0)</f>
        <v>0</v>
      </c>
      <c r="CE24" s="38">
        <f>IF($F24="TC-SM-144",1,0)</f>
        <v>0</v>
      </c>
      <c r="CF24" s="38">
        <f>IF($F24="PS-1-4-ODC",$E24,0)</f>
        <v>0</v>
      </c>
      <c r="CG24" s="38">
        <f>IF($F24="PS-1-8-ODP",$E24,0)</f>
        <v>0</v>
      </c>
      <c r="CH24" s="38">
        <f>IF($F24="PS-1-16-ODP",1,0)</f>
        <v>0</v>
      </c>
      <c r="CI24" s="38">
        <f>IF($F24="TC-SM-96",1,0)</f>
        <v>0</v>
      </c>
      <c r="CJ24" s="38">
        <f>IF($F24="TC-SM-96",1,0)</f>
        <v>0</v>
      </c>
      <c r="CK24" s="38">
        <f>IF($F24="SITAC",1,0)</f>
        <v>0</v>
      </c>
      <c r="CL24" s="38">
        <f>IF($F24="PU-S7.0-140",1,0)</f>
        <v>0</v>
      </c>
      <c r="CM24" s="38">
        <f>IF($F24="PU-S7.0-400NM ",1,0)</f>
        <v>0</v>
      </c>
      <c r="CN24" s="38">
        <f>IF($F24="PU-S9.0-140",1,0)</f>
        <v>0</v>
      </c>
      <c r="CO24" s="38"/>
      <c r="CP24" s="38"/>
      <c r="CQ24" s="38"/>
      <c r="CR24" s="38">
        <f>IF($F24="PU-AS-SC",1,0)</f>
        <v>0</v>
      </c>
      <c r="CS24" s="38">
        <f>IF($F24="PU-AS-HL",2,0)</f>
        <v>0</v>
      </c>
      <c r="CT24" s="38">
        <f>IF($F24="STAINLESS BELT",1,0)</f>
        <v>0</v>
      </c>
      <c r="CU24" s="38">
        <f>IF($F24="PU-AS",1,0)</f>
        <v>0</v>
      </c>
      <c r="CV24" s="38">
        <f>IF($F24="GB-G1",1,0)</f>
        <v>0</v>
      </c>
      <c r="CW24" s="38">
        <f>IF($F24="GB-G3",1,0)</f>
        <v>0</v>
      </c>
      <c r="CX24" s="38"/>
      <c r="CY24" s="38">
        <f>IF($F24="TC-02-ODC",$E24,0)</f>
        <v>0</v>
      </c>
      <c r="CZ24" s="38">
        <f>IF($F24="tc-02-odc",1,0)</f>
        <v>0</v>
      </c>
      <c r="DA24" s="38">
        <f>IF($F24="tc-02-odc",1,0)</f>
        <v>0</v>
      </c>
      <c r="DB24" s="38">
        <f>IF($F24="tc-02-odc",1,0)</f>
        <v>0</v>
      </c>
      <c r="DC24" s="38">
        <f>IF($F24="tc-02-odc",1,0)</f>
        <v>0</v>
      </c>
      <c r="DD24" s="38">
        <f>IF($F24="tc-02-odc",1,0)</f>
        <v>0</v>
      </c>
      <c r="DE24" s="38">
        <f>IF($F24="tc-02-odc",1,0)</f>
        <v>0</v>
      </c>
      <c r="DF24" s="38">
        <f>IF($F24="tc-02-odc",1,0)</f>
        <v>0</v>
      </c>
      <c r="DG24" s="38">
        <f>IF($F24="tc-02-odc",1,0)</f>
        <v>0</v>
      </c>
      <c r="DH24" s="38">
        <f>IF($F24="tc-02-odc",1,0)</f>
        <v>0</v>
      </c>
      <c r="DI24" s="38">
        <f>IF($F24="tc-02-odc",1,0)</f>
        <v>0</v>
      </c>
      <c r="DJ24" s="38">
        <f>IF($F24="tc-02-odc",1,0)</f>
        <v>0</v>
      </c>
      <c r="DK24" s="38">
        <f>IF($F24="tc-02-odc",1,0)</f>
        <v>0</v>
      </c>
      <c r="DL24" s="38">
        <f>IF($F24="tc-02-odc",1,0)</f>
        <v>0</v>
      </c>
      <c r="DM24" s="38">
        <f>IF($F24="tc-02-odc",1,0)</f>
        <v>0</v>
      </c>
      <c r="DN24" s="38">
        <f>IF($F24="tc-02-odc",1,0)</f>
        <v>0</v>
      </c>
      <c r="DO24" s="38">
        <f>IF($F24="tc-02-odc",1,0)</f>
        <v>0</v>
      </c>
      <c r="DP24" s="38">
        <f>IF($F24="tc-02-odc",1,0)</f>
        <v>0</v>
      </c>
      <c r="DQ24" s="38">
        <f>IF($F24="tc-02-odc",1,0)</f>
        <v>0</v>
      </c>
      <c r="DR24" s="38">
        <f>IF($F24="tc-02-odc",1,0)</f>
        <v>0</v>
      </c>
      <c r="DS24" s="38">
        <f>IF($F24="tc-02-odc",1,0)</f>
        <v>0</v>
      </c>
      <c r="DT24" s="38">
        <f>IF($F24="tc-02-odc",1,0)</f>
        <v>0</v>
      </c>
      <c r="DU24" s="38">
        <f>IF($F24="tc-02-odc",1,0)</f>
        <v>0</v>
      </c>
      <c r="DV24" s="38">
        <f>IF($F24="tc-02-odc",1,0)</f>
        <v>0</v>
      </c>
      <c r="DW24" s="38">
        <f>IF($F24="tc-02-odc",1,0)</f>
        <v>0</v>
      </c>
      <c r="DX24" s="38">
        <f>IF($F24="tc-02-odc",1,0)</f>
        <v>0</v>
      </c>
      <c r="DY24" s="38">
        <f>IF($F24="tc-02-odc",1,0)</f>
        <v>0</v>
      </c>
      <c r="DZ24" s="38">
        <f>IF($F24="tc-02-odc",1,0)</f>
        <v>0</v>
      </c>
      <c r="EA24" s="38">
        <f>IF($F24="tc-02-odc",1,0)</f>
        <v>0</v>
      </c>
      <c r="EB24" s="38">
        <f>IF($F24="tc-02-odc",1,0)</f>
        <v>0</v>
      </c>
      <c r="EC24" s="38">
        <f>IF($F24="tc-02-odc",1,0)</f>
        <v>0</v>
      </c>
      <c r="ED24" s="38">
        <f>IF($F24="tc-02-odc",1,0)</f>
        <v>0</v>
      </c>
      <c r="EE24" s="38">
        <f>IF($F24="DCD-PVC-1",1,0)</f>
        <v>0</v>
      </c>
      <c r="EF24" s="38">
        <f>IF($F24="tc-02-odc",1,0)</f>
        <v>0</v>
      </c>
      <c r="EG24" s="38">
        <f>IF($F24="tc-02-odc",1,0)</f>
        <v>0</v>
      </c>
      <c r="EH24" s="38">
        <f>IF($F24="tc-02-odc",1,0)</f>
        <v>0</v>
      </c>
      <c r="EI24" s="38">
        <f>IF($F24="tc-02-odc",1,0)</f>
        <v>0</v>
      </c>
      <c r="EJ24" s="38">
        <f>IF($F24="tc-02-odc",1,0)</f>
        <v>0</v>
      </c>
      <c r="EK24" s="38">
        <f>IF($F24="tc-02-odc",1,0)</f>
        <v>0</v>
      </c>
      <c r="EL24" s="38">
        <f>IF($F24="tc-02-odc",1,0)</f>
        <v>0</v>
      </c>
      <c r="EM24" s="38">
        <f>IF($F24="tc-02-odc",1,0)</f>
        <v>0</v>
      </c>
      <c r="EN24" s="38">
        <f>IF($F24="DD-HDPE-40-1",$E24,0)</f>
        <v>0</v>
      </c>
      <c r="EO24" s="38">
        <f>IF($F24="DD-HDPE-40-1",$E24,0)</f>
        <v>0</v>
      </c>
      <c r="EP24" s="38">
        <f>IF($F24="DD-HDPE-50-1",$E24,0)</f>
        <v>0</v>
      </c>
      <c r="EQ24" s="38"/>
      <c r="ER24" s="38"/>
      <c r="ES24" s="38"/>
      <c r="ET24" s="38"/>
      <c r="EU24" s="38"/>
      <c r="EV24" s="38"/>
      <c r="EW24" s="38"/>
      <c r="EX24" s="38"/>
      <c r="EY24" s="38"/>
      <c r="EZ24" s="38"/>
      <c r="FA24" s="38"/>
      <c r="FB24" s="38"/>
      <c r="FC24" s="38"/>
      <c r="FD24" s="38"/>
      <c r="FE24" s="38"/>
      <c r="FF24" s="94"/>
      <c r="FG24" s="94"/>
      <c r="FH24" s="94"/>
      <c r="FI24" s="94"/>
      <c r="FJ24" s="94"/>
      <c r="FK24" s="94"/>
      <c r="FL24" s="94"/>
      <c r="FM24" s="94"/>
      <c r="FN24" s="94"/>
      <c r="FO24" s="94"/>
      <c r="FP24" s="94"/>
      <c r="FQ24" s="94"/>
      <c r="FR24" s="94"/>
      <c r="FS24" s="94"/>
      <c r="FT24" s="94"/>
      <c r="FU24" s="94"/>
      <c r="FV24" s="94"/>
      <c r="FW24" s="94"/>
      <c r="FX24" s="94"/>
      <c r="FY24" s="94"/>
      <c r="FZ24" s="94"/>
      <c r="GA24" s="94"/>
      <c r="GB24" s="94"/>
      <c r="GC24" s="94"/>
      <c r="GD24" s="94"/>
      <c r="GE24" s="94"/>
      <c r="GF24" s="94"/>
      <c r="GG24" s="94"/>
      <c r="GH24" s="94"/>
      <c r="GI24" s="94"/>
      <c r="GJ24" s="94"/>
      <c r="GK24" s="94"/>
      <c r="GL24" s="94"/>
      <c r="GM24" s="94"/>
      <c r="GN24" s="94"/>
      <c r="GO24" s="94"/>
      <c r="GP24" s="94"/>
      <c r="GQ24" s="94"/>
      <c r="GR24" s="94"/>
      <c r="GS24" s="94"/>
      <c r="GT24" s="94"/>
      <c r="GU24" s="94"/>
      <c r="GV24" s="94"/>
      <c r="GW24" s="94"/>
      <c r="GX24" s="94"/>
      <c r="GY24" s="94"/>
      <c r="GZ24" s="94"/>
      <c r="HA24" s="76"/>
      <c r="HB24" s="77"/>
      <c r="HC24" s="74"/>
    </row>
    <row r="25" spans="1:212" customHeight="1" ht="17.25" s="4" customFormat="1">
      <c r="A25" s="63"/>
      <c r="B25" s="31"/>
      <c r="C25" s="88"/>
      <c r="D25" s="88"/>
      <c r="E25" s="92"/>
      <c r="F25" s="93"/>
      <c r="G25" s="37">
        <f>IF($F25="SLACK-12CORE",$E25,0)</f>
        <v>0</v>
      </c>
      <c r="H25" s="37">
        <f>IF($F25="Slack Support HH",1,0)</f>
        <v>0</v>
      </c>
      <c r="I25" s="38">
        <f>IF($F25="SLACK-24CORE",$E25,0)</f>
        <v>0</v>
      </c>
      <c r="J25" s="38">
        <f>IF($F25="SLACK-48CORE",$E25,0)</f>
        <v>0</v>
      </c>
      <c r="K25" s="38">
        <f>IF($F25="SLACK-96CORE",$E25,0)</f>
        <v>0</v>
      </c>
      <c r="L25" s="38">
        <f>IF($F25="Slack Support HH",$E25,0)</f>
        <v>0</v>
      </c>
      <c r="M25" s="38">
        <f>IF($F25="HH-PIT-80",1,0)</f>
        <v>0</v>
      </c>
      <c r="N25" s="38">
        <f>IF($F25="AC-OF-SM-12D",$E25,0)</f>
        <v>0</v>
      </c>
      <c r="O25" s="38">
        <f>IF($F25="AC-OF-SM-24D",$E25,0)</f>
        <v>0</v>
      </c>
      <c r="P25" s="38">
        <f>IF($F25="AC-OF-SM-48D",$E25,0)</f>
        <v>0</v>
      </c>
      <c r="Q25" s="38">
        <f>IF($F25="AC-OF-SM-96D",$E25,0)</f>
        <v>0</v>
      </c>
      <c r="R25" s="38">
        <f>IF($F25="AC-OF-SM-ADSS-12D",$E25,0)</f>
        <v>0</v>
      </c>
      <c r="S25" s="38">
        <f>IF($F25="AC-OF-SM-12-SC",$E25,0)</f>
        <v>0</v>
      </c>
      <c r="T25" s="38">
        <f>IF($F25="AC-OF-SM-24-SC",$E25,0)</f>
        <v>0</v>
      </c>
      <c r="U25" s="38">
        <f>IF($F25="AC-OF-SM-48-SC",$E25,0)</f>
        <v>0</v>
      </c>
      <c r="V25" s="38">
        <f>IF($F25="AC-OF-SM-96-SC",$E25,0)</f>
        <v>0</v>
      </c>
      <c r="W25" s="38">
        <f>IF($F25="DC-OF-SM-144D",$E25,0)</f>
        <v>0</v>
      </c>
      <c r="X25" s="38">
        <f>IF($F25="DC-OF-SM-288D",$E25,0)</f>
        <v>0</v>
      </c>
      <c r="Y25" s="38">
        <f>IF($F25="AC-OF-SM-12-SC",$E25,0)</f>
        <v>0</v>
      </c>
      <c r="Z25" s="38">
        <f>IF($F25="SC-OF-SM-12",1,0)</f>
        <v>0</v>
      </c>
      <c r="AA25" s="38">
        <f>IF($F25="SC-OF-SM-12",1,0)</f>
        <v>0</v>
      </c>
      <c r="AB25" s="38">
        <f>IF($F25="SC-OF-SM-12",1,0)</f>
        <v>0</v>
      </c>
      <c r="AC25" s="38">
        <f>IF($F25="SC-OF-SM-12",1,0)</f>
        <v>0</v>
      </c>
      <c r="AD25" s="38">
        <f>IF($F25="SC-OF-SM-12",1,0)</f>
        <v>0</v>
      </c>
      <c r="AE25" s="38">
        <f>IF($F25="SC-OF-SM-24",1,0)</f>
        <v>0</v>
      </c>
      <c r="AF25" s="38">
        <f>IF($F25="OS-SM-1",$E25,0)</f>
        <v>0</v>
      </c>
      <c r="AG25" s="38">
        <f>IF($F25="OS-SM-1",$E25,0)</f>
        <v>0</v>
      </c>
      <c r="AH25" s="38">
        <f>IF($F25="OS-SM-1",$E25,0)</f>
        <v>0</v>
      </c>
      <c r="AI25" s="38">
        <f>IF($F25="OS-SM-1",$E25,0)</f>
        <v>0</v>
      </c>
      <c r="AJ25" s="38">
        <f>IF($F25="OS-SM-1",$E25,0)</f>
        <v>0</v>
      </c>
      <c r="AK25" s="38">
        <v>52</v>
      </c>
      <c r="AL25" s="38">
        <f>IF($F25="OS-SM-1",$E25,0)</f>
        <v>0</v>
      </c>
      <c r="AM25" s="38">
        <f>IF($F25="OS-SM-1",$E25,0)</f>
        <v>0</v>
      </c>
      <c r="AN25" s="38">
        <f>IF($F25="OS-SM-1",$E25,0)</f>
        <v>0</v>
      </c>
      <c r="AO25" s="38">
        <f>IF($F25="OS-SM-1",$E25,0)</f>
        <v>0</v>
      </c>
      <c r="AP25" s="38">
        <v>52</v>
      </c>
      <c r="AQ25" s="38">
        <f>IF($F25="OS-SM-1",$E25,0)</f>
        <v>0</v>
      </c>
      <c r="AR25" s="38">
        <f>IF($F25="OS-SM-1",$E25,0)</f>
        <v>0</v>
      </c>
      <c r="AS25" s="38">
        <f>IF($F25="OS-SM-1",$E25,0)</f>
        <v>0</v>
      </c>
      <c r="AT25" s="38">
        <v>52</v>
      </c>
      <c r="AU25" s="38">
        <f>IF($F25="OS-SM-1",$E25,0)</f>
        <v>0</v>
      </c>
      <c r="AV25" s="38">
        <v>52</v>
      </c>
      <c r="AW25" s="38">
        <f>IF($F25="OS-SM-1",$E25,0)</f>
        <v>0</v>
      </c>
      <c r="AX25" s="38">
        <f>IF($F25="OS-SM-1",$E25,0)</f>
        <v>0</v>
      </c>
      <c r="AY25" s="38">
        <v>52</v>
      </c>
      <c r="AZ25" s="38">
        <f>IF($F25="OS-SM-1",$E25,0)</f>
        <v>0</v>
      </c>
      <c r="BA25" s="38">
        <f>IF($F25="OS-SM-1",$E25,0)</f>
        <v>0</v>
      </c>
      <c r="BB25" s="38">
        <f>IF($F25="OS-SM-1",$E25,0)</f>
        <v>0</v>
      </c>
      <c r="BC25" s="38">
        <f>IF($F25="OS-SM-1",$E25,0)</f>
        <v>0</v>
      </c>
      <c r="BD25" s="38">
        <f>IF($F25="OS-SM-1",$E25,0)</f>
        <v>0</v>
      </c>
      <c r="BE25" s="38">
        <f>IF($F25="OS-SM-1",$E25,0)</f>
        <v>0</v>
      </c>
      <c r="BF25" s="38">
        <f>IF($F25="OS-SM-1",$E25,0)</f>
        <v>0</v>
      </c>
      <c r="BG25" s="38">
        <f>IF($F25="PC-UPC-652-2",$E25,0)</f>
        <v>0</v>
      </c>
      <c r="BH25" s="38">
        <f>IF($F25="PC-APC/UPC-652-A1",$E25,0)</f>
        <v>0</v>
      </c>
      <c r="BI25" s="38">
        <f>IF($F25="OS-SM-1",$E25,0)</f>
        <v>0</v>
      </c>
      <c r="BJ25" s="38">
        <f>IF($F25="ODC-C-144",$E25,0)</f>
        <v>0</v>
      </c>
      <c r="BK25" s="38">
        <f>IF($F25="ODC-C-288",1,0)</f>
        <v>0</v>
      </c>
      <c r="BL25" s="38">
        <f>IF($F25="ODC-PROT-144",1,0)</f>
        <v>0</v>
      </c>
      <c r="BM25" s="38">
        <f>IF($F25="ODC-PROT-288",1,0)</f>
        <v>0</v>
      </c>
      <c r="BN25" s="38">
        <f>IF($F25="ODP-CA-8",1,0)</f>
        <v>0</v>
      </c>
      <c r="BO25" s="38">
        <f>IF($F25="ODP-CA-16",1,0)</f>
        <v>0</v>
      </c>
      <c r="BP25" s="38">
        <f>IF($F25="ODP-A-8",1,0)</f>
        <v>0</v>
      </c>
      <c r="BQ25" s="38">
        <f>IF($F25="ODP-Solid-PB-8",1,0)</f>
        <v>0</v>
      </c>
      <c r="BR25" s="38">
        <f>IF($F25="ODP-Solid-PB-16",1,0)</f>
        <v>0</v>
      </c>
      <c r="BS25" s="38">
        <f>IF($F25="ODP-Solid-PB-8 AS",1,0)</f>
        <v>0</v>
      </c>
      <c r="BT25" s="38">
        <f>IF($F25="ODP-Solid-PB-16 AS",1,0)</f>
        <v>0</v>
      </c>
      <c r="BU25" s="38">
        <f>IF($F25="ODP-PL-16",1,0)</f>
        <v>0</v>
      </c>
      <c r="BV25" s="38">
        <f>IF($F25="TC-SM-12",1,0)</f>
        <v>0</v>
      </c>
      <c r="BW25" s="38">
        <f>IF($F25="TC-SM-12",1,0)</f>
        <v>0</v>
      </c>
      <c r="BX25" s="38">
        <f>IF($F25="TC-SM-48",1,0)</f>
        <v>0</v>
      </c>
      <c r="BY25" s="38">
        <f>IF($F25="TC-SM-96",1,0)</f>
        <v>0</v>
      </c>
      <c r="BZ25" s="38">
        <f>IF($F25="TC-SM-96",1,0)</f>
        <v>0</v>
      </c>
      <c r="CA25" s="38">
        <f>IF($F25="TC-SM-96",1,0)</f>
        <v>0</v>
      </c>
      <c r="CB25" s="38">
        <f>IF($F25="TC-SM-96",1,0)</f>
        <v>0</v>
      </c>
      <c r="CC25" s="38">
        <f>IF($F25="TC-SM-96",1,0)</f>
        <v>0</v>
      </c>
      <c r="CD25" s="38">
        <f>IF($F25="TC-SM-96",1,0)</f>
        <v>0</v>
      </c>
      <c r="CE25" s="38">
        <f>IF($F25="TC-SM-144",1,0)</f>
        <v>0</v>
      </c>
      <c r="CF25" s="38">
        <f>IF($F25="PS-1-4-ODC",$E25,0)</f>
        <v>0</v>
      </c>
      <c r="CG25" s="38">
        <f>IF($F25="PS-1-8-ODP",$E25,0)</f>
        <v>0</v>
      </c>
      <c r="CH25" s="38">
        <f>IF($F25="PS-1-16-ODP",1,0)</f>
        <v>0</v>
      </c>
      <c r="CI25" s="38">
        <f>IF($F25="TC-SM-96",1,0)</f>
        <v>0</v>
      </c>
      <c r="CJ25" s="38">
        <f>IF($F25="TC-SM-96",1,0)</f>
        <v>0</v>
      </c>
      <c r="CK25" s="38">
        <f>IF($F25="SITAC",1,0)</f>
        <v>0</v>
      </c>
      <c r="CL25" s="38">
        <f>IF($F25="PU-S7.0-140",1,0)</f>
        <v>0</v>
      </c>
      <c r="CM25" s="38">
        <f>IF($F25="PU-S7.0-400NM ",1,0)</f>
        <v>0</v>
      </c>
      <c r="CN25" s="38">
        <f>IF($F25="PU-S9.0-140",1,0)</f>
        <v>0</v>
      </c>
      <c r="CO25" s="38"/>
      <c r="CP25" s="38"/>
      <c r="CQ25" s="38"/>
      <c r="CR25" s="38">
        <f>IF($F25="PU-AS-SC",1,0)</f>
        <v>0</v>
      </c>
      <c r="CS25" s="38">
        <f>IF($F25="PU-AS-HL",2,0)</f>
        <v>0</v>
      </c>
      <c r="CT25" s="38">
        <f>IF($F25="STAINLESS BELT",1,0)</f>
        <v>0</v>
      </c>
      <c r="CU25" s="38">
        <f>IF($F25="PU-AS",1,0)</f>
        <v>0</v>
      </c>
      <c r="CV25" s="38">
        <f>IF($F25="GB-G1",1,0)</f>
        <v>0</v>
      </c>
      <c r="CW25" s="38">
        <f>IF($F25="GB-G3",1,0)</f>
        <v>0</v>
      </c>
      <c r="CX25" s="38"/>
      <c r="CY25" s="38">
        <f>IF($F25="TC-02-ODC",$E25,0)</f>
        <v>0</v>
      </c>
      <c r="CZ25" s="38">
        <f>IF($F25="tc-02-odc",1,0)</f>
        <v>0</v>
      </c>
      <c r="DA25" s="38">
        <f>IF($F25="tc-02-odc",1,0)</f>
        <v>0</v>
      </c>
      <c r="DB25" s="38">
        <f>IF($F25="tc-02-odc",1,0)</f>
        <v>0</v>
      </c>
      <c r="DC25" s="38">
        <f>IF($F25="tc-02-odc",1,0)</f>
        <v>0</v>
      </c>
      <c r="DD25" s="38">
        <f>IF($F25="tc-02-odc",1,0)</f>
        <v>0</v>
      </c>
      <c r="DE25" s="38">
        <f>IF($F25="tc-02-odc",1,0)</f>
        <v>0</v>
      </c>
      <c r="DF25" s="38">
        <f>IF($F25="tc-02-odc",1,0)</f>
        <v>0</v>
      </c>
      <c r="DG25" s="38">
        <f>IF($F25="tc-02-odc",1,0)</f>
        <v>0</v>
      </c>
      <c r="DH25" s="38">
        <f>IF($F25="tc-02-odc",1,0)</f>
        <v>0</v>
      </c>
      <c r="DI25" s="38">
        <f>IF($F25="tc-02-odc",1,0)</f>
        <v>0</v>
      </c>
      <c r="DJ25" s="38">
        <f>IF($F25="tc-02-odc",1,0)</f>
        <v>0</v>
      </c>
      <c r="DK25" s="38">
        <f>IF($F25="tc-02-odc",1,0)</f>
        <v>0</v>
      </c>
      <c r="DL25" s="38">
        <f>IF($F25="tc-02-odc",1,0)</f>
        <v>0</v>
      </c>
      <c r="DM25" s="38">
        <f>IF($F25="tc-02-odc",1,0)</f>
        <v>0</v>
      </c>
      <c r="DN25" s="38">
        <f>IF($F25="tc-02-odc",1,0)</f>
        <v>0</v>
      </c>
      <c r="DO25" s="38">
        <f>IF($F25="tc-02-odc",1,0)</f>
        <v>0</v>
      </c>
      <c r="DP25" s="38">
        <f>IF($F25="tc-02-odc",1,0)</f>
        <v>0</v>
      </c>
      <c r="DQ25" s="38">
        <f>IF($F25="tc-02-odc",1,0)</f>
        <v>0</v>
      </c>
      <c r="DR25" s="38">
        <f>IF($F25="tc-02-odc",1,0)</f>
        <v>0</v>
      </c>
      <c r="DS25" s="38">
        <f>IF($F25="tc-02-odc",1,0)</f>
        <v>0</v>
      </c>
      <c r="DT25" s="38">
        <f>IF($F25="tc-02-odc",1,0)</f>
        <v>0</v>
      </c>
      <c r="DU25" s="38">
        <f>IF($F25="tc-02-odc",1,0)</f>
        <v>0</v>
      </c>
      <c r="DV25" s="38">
        <f>IF($F25="tc-02-odc",1,0)</f>
        <v>0</v>
      </c>
      <c r="DW25" s="38">
        <f>IF($F25="tc-02-odc",1,0)</f>
        <v>0</v>
      </c>
      <c r="DX25" s="38">
        <f>IF($F25="tc-02-odc",1,0)</f>
        <v>0</v>
      </c>
      <c r="DY25" s="38">
        <f>IF($F25="tc-02-odc",1,0)</f>
        <v>0</v>
      </c>
      <c r="DZ25" s="38">
        <f>IF($F25="tc-02-odc",1,0)</f>
        <v>0</v>
      </c>
      <c r="EA25" s="38">
        <f>IF($F25="tc-02-odc",1,0)</f>
        <v>0</v>
      </c>
      <c r="EB25" s="38">
        <f>IF($F25="tc-02-odc",1,0)</f>
        <v>0</v>
      </c>
      <c r="EC25" s="38">
        <f>IF($F25="tc-02-odc",1,0)</f>
        <v>0</v>
      </c>
      <c r="ED25" s="38">
        <f>IF($F25="tc-02-odc",1,0)</f>
        <v>0</v>
      </c>
      <c r="EE25" s="38">
        <f>IF($F25="DCD-PVC-1",1,0)</f>
        <v>0</v>
      </c>
      <c r="EF25" s="38">
        <f>IF($F25="tc-02-odc",1,0)</f>
        <v>0</v>
      </c>
      <c r="EG25" s="38">
        <f>IF($F25="tc-02-odc",1,0)</f>
        <v>0</v>
      </c>
      <c r="EH25" s="38">
        <f>IF($F25="tc-02-odc",1,0)</f>
        <v>0</v>
      </c>
      <c r="EI25" s="38">
        <f>IF($F25="tc-02-odc",1,0)</f>
        <v>0</v>
      </c>
      <c r="EJ25" s="38">
        <f>IF($F25="tc-02-odc",1,0)</f>
        <v>0</v>
      </c>
      <c r="EK25" s="38">
        <f>IF($F25="tc-02-odc",1,0)</f>
        <v>0</v>
      </c>
      <c r="EL25" s="38">
        <f>IF($F25="tc-02-odc",1,0)</f>
        <v>0</v>
      </c>
      <c r="EM25" s="38">
        <f>IF($F25="tc-02-odc",1,0)</f>
        <v>0</v>
      </c>
      <c r="EN25" s="38">
        <f>IF($F25="DD-HDPE-40-1",$E25,0)</f>
        <v>0</v>
      </c>
      <c r="EO25" s="38">
        <f>IF($F25="DD-HDPE-40-1",$E25,0)</f>
        <v>0</v>
      </c>
      <c r="EP25" s="38">
        <f>IF($F25="DD-HDPE-50-1",$E25,0)</f>
        <v>0</v>
      </c>
      <c r="EQ25" s="38"/>
      <c r="ER25" s="38"/>
      <c r="ES25" s="38"/>
      <c r="ET25" s="38"/>
      <c r="EU25" s="38"/>
      <c r="EV25" s="38"/>
      <c r="EW25" s="38"/>
      <c r="EX25" s="38"/>
      <c r="EY25" s="38"/>
      <c r="EZ25" s="38"/>
      <c r="FA25" s="38"/>
      <c r="FB25" s="38"/>
      <c r="FC25" s="38"/>
      <c r="FD25" s="38"/>
      <c r="FE25" s="38"/>
      <c r="FF25" s="94"/>
      <c r="FG25" s="94"/>
      <c r="FH25" s="94"/>
      <c r="FI25" s="94"/>
      <c r="FJ25" s="94"/>
      <c r="FK25" s="94"/>
      <c r="FL25" s="94"/>
      <c r="FM25" s="94"/>
      <c r="FN25" s="94"/>
      <c r="FO25" s="94"/>
      <c r="FP25" s="94"/>
      <c r="FQ25" s="94"/>
      <c r="FR25" s="94"/>
      <c r="FS25" s="94"/>
      <c r="FT25" s="94"/>
      <c r="FU25" s="94"/>
      <c r="FV25" s="94"/>
      <c r="FW25" s="94"/>
      <c r="FX25" s="94"/>
      <c r="FY25" s="94"/>
      <c r="FZ25" s="94"/>
      <c r="GA25" s="94"/>
      <c r="GB25" s="94"/>
      <c r="GC25" s="94"/>
      <c r="GD25" s="94"/>
      <c r="GE25" s="94"/>
      <c r="GF25" s="94"/>
      <c r="GG25" s="94"/>
      <c r="GH25" s="94"/>
      <c r="GI25" s="94"/>
      <c r="GJ25" s="94"/>
      <c r="GK25" s="94"/>
      <c r="GL25" s="94"/>
      <c r="GM25" s="94"/>
      <c r="GN25" s="94"/>
      <c r="GO25" s="94"/>
      <c r="GP25" s="94"/>
      <c r="GQ25" s="94"/>
      <c r="GR25" s="94"/>
      <c r="GS25" s="94"/>
      <c r="GT25" s="94"/>
      <c r="GU25" s="94"/>
      <c r="GV25" s="94"/>
      <c r="GW25" s="94"/>
      <c r="GX25" s="94"/>
      <c r="GY25" s="94"/>
      <c r="GZ25" s="94"/>
      <c r="HA25" s="76"/>
      <c r="HB25" s="77"/>
      <c r="HC25" s="74"/>
    </row>
    <row r="26" spans="1:212" customHeight="1" ht="17.25" s="4" customFormat="1">
      <c r="A26" s="63"/>
      <c r="B26" s="31"/>
      <c r="C26" s="88"/>
      <c r="D26" s="88"/>
      <c r="E26" s="92"/>
      <c r="F26" s="93"/>
      <c r="G26" s="37">
        <f>IF($F26="SLACK-12CORE",$E26,0)</f>
        <v>0</v>
      </c>
      <c r="H26" s="37">
        <f>IF($F26="Slack Support HH",1,0)</f>
        <v>0</v>
      </c>
      <c r="I26" s="38">
        <f>IF($F26="SLACK-24CORE",$E26,0)</f>
        <v>0</v>
      </c>
      <c r="J26" s="38">
        <f>IF($F26="SLACK-48CORE",$E26,0)</f>
        <v>0</v>
      </c>
      <c r="K26" s="38">
        <f>IF($F26="SLACK-96CORE",$E26,0)</f>
        <v>0</v>
      </c>
      <c r="L26" s="38">
        <f>IF($F26="Slack Support HH",$E26,0)</f>
        <v>0</v>
      </c>
      <c r="M26" s="38">
        <f>IF($F26="HH-PIT-80",1,0)</f>
        <v>0</v>
      </c>
      <c r="N26" s="38">
        <f>IF($F26="AC-OF-SM-12D",$E26,0)</f>
        <v>0</v>
      </c>
      <c r="O26" s="38">
        <f>IF($F26="AC-OF-SM-24D",$E26,0)</f>
        <v>0</v>
      </c>
      <c r="P26" s="38">
        <f>IF($F26="AC-OF-SM-48D",$E26,0)</f>
        <v>0</v>
      </c>
      <c r="Q26" s="38">
        <f>IF($F26="AC-OF-SM-96D",$E26,0)</f>
        <v>0</v>
      </c>
      <c r="R26" s="38">
        <f>IF($F26="AC-OF-SM-ADSS-12D",$E26,0)</f>
        <v>0</v>
      </c>
      <c r="S26" s="38">
        <f>IF($F26="AC-OF-SM-12-SC",$E26,0)</f>
        <v>0</v>
      </c>
      <c r="T26" s="38">
        <f>IF($F26="AC-OF-SM-24-SC",$E26,0)</f>
        <v>0</v>
      </c>
      <c r="U26" s="38">
        <f>IF($F26="AC-OF-SM-48-SC",$E26,0)</f>
        <v>0</v>
      </c>
      <c r="V26" s="38">
        <f>IF($F26="AC-OF-SM-96-SC",$E26,0)</f>
        <v>0</v>
      </c>
      <c r="W26" s="38">
        <f>IF($F26="DC-OF-SM-144D",$E26,0)</f>
        <v>0</v>
      </c>
      <c r="X26" s="38">
        <f>IF($F26="DC-OF-SM-288D",$E26,0)</f>
        <v>0</v>
      </c>
      <c r="Y26" s="38">
        <f>IF($F26="AC-OF-SM-12-SC",$E26,0)</f>
        <v>0</v>
      </c>
      <c r="Z26" s="38">
        <f>IF($F26="SC-OF-SM-12",1,0)</f>
        <v>0</v>
      </c>
      <c r="AA26" s="38">
        <f>IF($F26="SC-OF-SM-12",1,0)</f>
        <v>0</v>
      </c>
      <c r="AB26" s="38">
        <f>IF($F26="SC-OF-SM-12",1,0)</f>
        <v>0</v>
      </c>
      <c r="AC26" s="38">
        <f>IF($F26="SC-OF-SM-12",1,0)</f>
        <v>0</v>
      </c>
      <c r="AD26" s="38">
        <f>IF($F26="SC-OF-SM-12",1,0)</f>
        <v>0</v>
      </c>
      <c r="AE26" s="38">
        <f>IF($F26="SC-OF-SM-24",1,0)</f>
        <v>0</v>
      </c>
      <c r="AF26" s="38">
        <f>IF($F26="OS-SM-1",$E26,0)</f>
        <v>0</v>
      </c>
      <c r="AG26" s="38">
        <f>IF($F26="OS-SM-1",$E26,0)</f>
        <v>0</v>
      </c>
      <c r="AH26" s="38">
        <f>IF($F26="OS-SM-1",$E26,0)</f>
        <v>0</v>
      </c>
      <c r="AI26" s="38">
        <f>IF($F26="OS-SM-1",$E26,0)</f>
        <v>0</v>
      </c>
      <c r="AJ26" s="38">
        <f>IF($F26="OS-SM-1",$E26,0)</f>
        <v>0</v>
      </c>
      <c r="AK26" s="38">
        <v>53</v>
      </c>
      <c r="AL26" s="38">
        <f>IF($F26="OS-SM-1",$E26,0)</f>
        <v>0</v>
      </c>
      <c r="AM26" s="38">
        <f>IF($F26="OS-SM-1",$E26,0)</f>
        <v>0</v>
      </c>
      <c r="AN26" s="38">
        <f>IF($F26="OS-SM-1",$E26,0)</f>
        <v>0</v>
      </c>
      <c r="AO26" s="38">
        <f>IF($F26="OS-SM-1",$E26,0)</f>
        <v>0</v>
      </c>
      <c r="AP26" s="38">
        <v>53</v>
      </c>
      <c r="AQ26" s="38">
        <f>IF($F26="OS-SM-1",$E26,0)</f>
        <v>0</v>
      </c>
      <c r="AR26" s="38">
        <f>IF($F26="OS-SM-1",$E26,0)</f>
        <v>0</v>
      </c>
      <c r="AS26" s="38">
        <f>IF($F26="OS-SM-1",$E26,0)</f>
        <v>0</v>
      </c>
      <c r="AT26" s="38">
        <v>53</v>
      </c>
      <c r="AU26" s="38">
        <f>IF($F26="OS-SM-1",$E26,0)</f>
        <v>0</v>
      </c>
      <c r="AV26" s="38">
        <v>53</v>
      </c>
      <c r="AW26" s="38">
        <f>IF($F26="OS-SM-1",$E26,0)</f>
        <v>0</v>
      </c>
      <c r="AX26" s="38">
        <f>IF($F26="OS-SM-1",$E26,0)</f>
        <v>0</v>
      </c>
      <c r="AY26" s="38">
        <v>53</v>
      </c>
      <c r="AZ26" s="38">
        <f>IF($F26="OS-SM-1",$E26,0)</f>
        <v>0</v>
      </c>
      <c r="BA26" s="38">
        <f>IF($F26="OS-SM-1",$E26,0)</f>
        <v>0</v>
      </c>
      <c r="BB26" s="38">
        <f>IF($F26="OS-SM-1",$E26,0)</f>
        <v>0</v>
      </c>
      <c r="BC26" s="38">
        <f>IF($F26="OS-SM-1",$E26,0)</f>
        <v>0</v>
      </c>
      <c r="BD26" s="38">
        <f>IF($F26="OS-SM-1",$E26,0)</f>
        <v>0</v>
      </c>
      <c r="BE26" s="38">
        <f>IF($F26="OS-SM-1",$E26,0)</f>
        <v>0</v>
      </c>
      <c r="BF26" s="38">
        <f>IF($F26="OS-SM-1",$E26,0)</f>
        <v>0</v>
      </c>
      <c r="BG26" s="38">
        <f>IF($F26="PC-UPC-652-2",$E26,0)</f>
        <v>0</v>
      </c>
      <c r="BH26" s="38">
        <f>IF($F26="PC-APC/UPC-652-A1",$E26,0)</f>
        <v>0</v>
      </c>
      <c r="BI26" s="38">
        <f>IF($F26="OS-SM-1",$E26,0)</f>
        <v>0</v>
      </c>
      <c r="BJ26" s="38">
        <f>IF($F26="ODC-C-144",$E26,0)</f>
        <v>0</v>
      </c>
      <c r="BK26" s="38">
        <f>IF($F26="ODC-C-288",1,0)</f>
        <v>0</v>
      </c>
      <c r="BL26" s="38">
        <f>IF($F26="ODC-PROT-144",1,0)</f>
        <v>0</v>
      </c>
      <c r="BM26" s="38">
        <f>IF($F26="ODC-PROT-288",1,0)</f>
        <v>0</v>
      </c>
      <c r="BN26" s="38">
        <f>IF($F26="ODP-CA-8",1,0)</f>
        <v>0</v>
      </c>
      <c r="BO26" s="38">
        <f>IF($F26="ODP-CA-16",1,0)</f>
        <v>0</v>
      </c>
      <c r="BP26" s="38">
        <f>IF($F26="ODP-A-8",1,0)</f>
        <v>0</v>
      </c>
      <c r="BQ26" s="38">
        <f>IF($F26="ODP-Solid-PB-8",1,0)</f>
        <v>0</v>
      </c>
      <c r="BR26" s="38">
        <f>IF($F26="ODP-Solid-PB-16",1,0)</f>
        <v>0</v>
      </c>
      <c r="BS26" s="38">
        <f>IF($F26="ODP-Solid-PB-8 AS",1,0)</f>
        <v>0</v>
      </c>
      <c r="BT26" s="38">
        <f>IF($F26="ODP-Solid-PB-16 AS",1,0)</f>
        <v>0</v>
      </c>
      <c r="BU26" s="38">
        <f>IF($F26="ODP-PL-16",1,0)</f>
        <v>0</v>
      </c>
      <c r="BV26" s="38">
        <f>IF($F26="TC-SM-12",1,0)</f>
        <v>0</v>
      </c>
      <c r="BW26" s="38">
        <f>IF($F26="TC-SM-12",1,0)</f>
        <v>0</v>
      </c>
      <c r="BX26" s="38">
        <f>IF($F26="TC-SM-48",1,0)</f>
        <v>0</v>
      </c>
      <c r="BY26" s="38">
        <f>IF($F26="TC-SM-96",1,0)</f>
        <v>0</v>
      </c>
      <c r="BZ26" s="38">
        <f>IF($F26="TC-SM-96",1,0)</f>
        <v>0</v>
      </c>
      <c r="CA26" s="38">
        <f>IF($F26="TC-SM-96",1,0)</f>
        <v>0</v>
      </c>
      <c r="CB26" s="38">
        <f>IF($F26="TC-SM-96",1,0)</f>
        <v>0</v>
      </c>
      <c r="CC26" s="38">
        <f>IF($F26="TC-SM-96",1,0)</f>
        <v>0</v>
      </c>
      <c r="CD26" s="38">
        <f>IF($F26="TC-SM-96",1,0)</f>
        <v>0</v>
      </c>
      <c r="CE26" s="38">
        <f>IF($F26="TC-SM-144",1,0)</f>
        <v>0</v>
      </c>
      <c r="CF26" s="38">
        <f>IF($F26="PS-1-4-ODC",$E26,0)</f>
        <v>0</v>
      </c>
      <c r="CG26" s="38">
        <f>IF($F26="PS-1-8-ODP",$E26,0)</f>
        <v>0</v>
      </c>
      <c r="CH26" s="38">
        <f>IF($F26="PS-1-16-ODP",1,0)</f>
        <v>0</v>
      </c>
      <c r="CI26" s="38">
        <f>IF($F26="TC-SM-96",1,0)</f>
        <v>0</v>
      </c>
      <c r="CJ26" s="38">
        <f>IF($F26="TC-SM-96",1,0)</f>
        <v>0</v>
      </c>
      <c r="CK26" s="38">
        <f>IF($F26="SITAC",1,0)</f>
        <v>0</v>
      </c>
      <c r="CL26" s="38">
        <f>IF($F26="PU-S7.0-140",1,0)</f>
        <v>0</v>
      </c>
      <c r="CM26" s="38">
        <f>IF($F26="PU-S7.0-400NM ",1,0)</f>
        <v>0</v>
      </c>
      <c r="CN26" s="38">
        <f>IF($F26="PU-S9.0-140",1,0)</f>
        <v>0</v>
      </c>
      <c r="CO26" s="38"/>
      <c r="CP26" s="38"/>
      <c r="CQ26" s="38"/>
      <c r="CR26" s="38">
        <f>IF($F26="PU-AS-SC",1,0)</f>
        <v>0</v>
      </c>
      <c r="CS26" s="38">
        <f>IF($F26="PU-AS-HL",2,0)</f>
        <v>0</v>
      </c>
      <c r="CT26" s="38">
        <f>IF($F26="STAINLESS BELT",1,0)</f>
        <v>0</v>
      </c>
      <c r="CU26" s="38">
        <f>IF($F26="PU-AS",1,0)</f>
        <v>0</v>
      </c>
      <c r="CV26" s="38">
        <f>IF($F26="GB-G1",1,0)</f>
        <v>0</v>
      </c>
      <c r="CW26" s="38">
        <f>IF($F26="GB-G3",1,0)</f>
        <v>0</v>
      </c>
      <c r="CX26" s="38"/>
      <c r="CY26" s="38">
        <f>IF($F26="TC-02-ODC",$E26,0)</f>
        <v>0</v>
      </c>
      <c r="CZ26" s="38">
        <f>IF($F26="tc-02-odc",1,0)</f>
        <v>0</v>
      </c>
      <c r="DA26" s="38">
        <f>IF($F26="tc-02-odc",1,0)</f>
        <v>0</v>
      </c>
      <c r="DB26" s="38">
        <f>IF($F26="tc-02-odc",1,0)</f>
        <v>0</v>
      </c>
      <c r="DC26" s="38">
        <f>IF($F26="tc-02-odc",1,0)</f>
        <v>0</v>
      </c>
      <c r="DD26" s="38">
        <f>IF($F26="tc-02-odc",1,0)</f>
        <v>0</v>
      </c>
      <c r="DE26" s="38">
        <f>IF($F26="tc-02-odc",1,0)</f>
        <v>0</v>
      </c>
      <c r="DF26" s="38">
        <f>IF($F26="tc-02-odc",1,0)</f>
        <v>0</v>
      </c>
      <c r="DG26" s="38">
        <f>IF($F26="tc-02-odc",1,0)</f>
        <v>0</v>
      </c>
      <c r="DH26" s="38">
        <f>IF($F26="tc-02-odc",1,0)</f>
        <v>0</v>
      </c>
      <c r="DI26" s="38">
        <f>IF($F26="tc-02-odc",1,0)</f>
        <v>0</v>
      </c>
      <c r="DJ26" s="38">
        <f>IF($F26="tc-02-odc",1,0)</f>
        <v>0</v>
      </c>
      <c r="DK26" s="38">
        <f>IF($F26="tc-02-odc",1,0)</f>
        <v>0</v>
      </c>
      <c r="DL26" s="38">
        <f>IF($F26="tc-02-odc",1,0)</f>
        <v>0</v>
      </c>
      <c r="DM26" s="38">
        <f>IF($F26="tc-02-odc",1,0)</f>
        <v>0</v>
      </c>
      <c r="DN26" s="38">
        <f>IF($F26="tc-02-odc",1,0)</f>
        <v>0</v>
      </c>
      <c r="DO26" s="38">
        <f>IF($F26="tc-02-odc",1,0)</f>
        <v>0</v>
      </c>
      <c r="DP26" s="38">
        <f>IF($F26="tc-02-odc",1,0)</f>
        <v>0</v>
      </c>
      <c r="DQ26" s="38">
        <f>IF($F26="tc-02-odc",1,0)</f>
        <v>0</v>
      </c>
      <c r="DR26" s="38">
        <f>IF($F26="tc-02-odc",1,0)</f>
        <v>0</v>
      </c>
      <c r="DS26" s="38">
        <f>IF($F26="tc-02-odc",1,0)</f>
        <v>0</v>
      </c>
      <c r="DT26" s="38">
        <f>IF($F26="tc-02-odc",1,0)</f>
        <v>0</v>
      </c>
      <c r="DU26" s="38">
        <f>IF($F26="tc-02-odc",1,0)</f>
        <v>0</v>
      </c>
      <c r="DV26" s="38">
        <f>IF($F26="tc-02-odc",1,0)</f>
        <v>0</v>
      </c>
      <c r="DW26" s="38">
        <f>IF($F26="tc-02-odc",1,0)</f>
        <v>0</v>
      </c>
      <c r="DX26" s="38">
        <f>IF($F26="tc-02-odc",1,0)</f>
        <v>0</v>
      </c>
      <c r="DY26" s="38">
        <f>IF($F26="tc-02-odc",1,0)</f>
        <v>0</v>
      </c>
      <c r="DZ26" s="38">
        <f>IF($F26="tc-02-odc",1,0)</f>
        <v>0</v>
      </c>
      <c r="EA26" s="38">
        <f>IF($F26="tc-02-odc",1,0)</f>
        <v>0</v>
      </c>
      <c r="EB26" s="38">
        <f>IF($F26="tc-02-odc",1,0)</f>
        <v>0</v>
      </c>
      <c r="EC26" s="38">
        <f>IF($F26="tc-02-odc",1,0)</f>
        <v>0</v>
      </c>
      <c r="ED26" s="38">
        <f>IF($F26="tc-02-odc",1,0)</f>
        <v>0</v>
      </c>
      <c r="EE26" s="38">
        <f>IF($F26="DCD-PVC-1",1,0)</f>
        <v>0</v>
      </c>
      <c r="EF26" s="38">
        <f>IF($F26="tc-02-odc",1,0)</f>
        <v>0</v>
      </c>
      <c r="EG26" s="38">
        <f>IF($F26="tc-02-odc",1,0)</f>
        <v>0</v>
      </c>
      <c r="EH26" s="38">
        <f>IF($F26="tc-02-odc",1,0)</f>
        <v>0</v>
      </c>
      <c r="EI26" s="38">
        <f>IF($F26="tc-02-odc",1,0)</f>
        <v>0</v>
      </c>
      <c r="EJ26" s="38">
        <f>IF($F26="tc-02-odc",1,0)</f>
        <v>0</v>
      </c>
      <c r="EK26" s="38">
        <f>IF($F26="tc-02-odc",1,0)</f>
        <v>0</v>
      </c>
      <c r="EL26" s="38">
        <f>IF($F26="tc-02-odc",1,0)</f>
        <v>0</v>
      </c>
      <c r="EM26" s="38">
        <f>IF($F26="tc-02-odc",1,0)</f>
        <v>0</v>
      </c>
      <c r="EN26" s="38">
        <f>IF($F26="DD-HDPE-40-1",$E26,0)</f>
        <v>0</v>
      </c>
      <c r="EO26" s="38">
        <f>IF($F26="DD-HDPE-40-1",$E26,0)</f>
        <v>0</v>
      </c>
      <c r="EP26" s="38">
        <f>IF($F26="DD-HDPE-50-1",$E26,0)</f>
        <v>0</v>
      </c>
      <c r="EQ26" s="38"/>
      <c r="ER26" s="38"/>
      <c r="ES26" s="38"/>
      <c r="ET26" s="38"/>
      <c r="EU26" s="38"/>
      <c r="EV26" s="38"/>
      <c r="EW26" s="38"/>
      <c r="EX26" s="38"/>
      <c r="EY26" s="38"/>
      <c r="EZ26" s="38"/>
      <c r="FA26" s="38"/>
      <c r="FB26" s="38"/>
      <c r="FC26" s="38"/>
      <c r="FD26" s="38"/>
      <c r="FE26" s="38"/>
      <c r="FF26" s="94"/>
      <c r="FG26" s="94"/>
      <c r="FH26" s="94"/>
      <c r="FI26" s="94"/>
      <c r="FJ26" s="94"/>
      <c r="FK26" s="94"/>
      <c r="FL26" s="94"/>
      <c r="FM26" s="94"/>
      <c r="FN26" s="94"/>
      <c r="FO26" s="94"/>
      <c r="FP26" s="94"/>
      <c r="FQ26" s="94"/>
      <c r="FR26" s="94"/>
      <c r="FS26" s="94"/>
      <c r="FT26" s="94"/>
      <c r="FU26" s="94"/>
      <c r="FV26" s="94"/>
      <c r="FW26" s="94"/>
      <c r="FX26" s="94"/>
      <c r="FY26" s="94"/>
      <c r="FZ26" s="94"/>
      <c r="GA26" s="94"/>
      <c r="GB26" s="94"/>
      <c r="GC26" s="94"/>
      <c r="GD26" s="94"/>
      <c r="GE26" s="94"/>
      <c r="GF26" s="94"/>
      <c r="GG26" s="94"/>
      <c r="GH26" s="94"/>
      <c r="GI26" s="94"/>
      <c r="GJ26" s="94"/>
      <c r="GK26" s="94"/>
      <c r="GL26" s="94"/>
      <c r="GM26" s="94"/>
      <c r="GN26" s="94"/>
      <c r="GO26" s="94"/>
      <c r="GP26" s="94"/>
      <c r="GQ26" s="94"/>
      <c r="GR26" s="94"/>
      <c r="GS26" s="94"/>
      <c r="GT26" s="94"/>
      <c r="GU26" s="94"/>
      <c r="GV26" s="94"/>
      <c r="GW26" s="94"/>
      <c r="GX26" s="94"/>
      <c r="GY26" s="94"/>
      <c r="GZ26" s="94"/>
      <c r="HA26" s="76"/>
      <c r="HB26" s="77"/>
      <c r="HC26" s="74"/>
    </row>
    <row r="27" spans="1:212" customHeight="1" ht="17.25" s="4" customFormat="1">
      <c r="A27" s="63"/>
      <c r="B27" s="31"/>
      <c r="C27" s="88"/>
      <c r="D27" s="88"/>
      <c r="E27" s="92"/>
      <c r="F27" s="93"/>
      <c r="G27" s="37">
        <f>IF($F27="SLACK-12CORE",$E27,0)</f>
        <v>0</v>
      </c>
      <c r="H27" s="37">
        <f>IF($F27="Slack Support HH",1,0)</f>
        <v>0</v>
      </c>
      <c r="I27" s="38">
        <f>IF($F27="SLACK-24CORE",$E27,0)</f>
        <v>0</v>
      </c>
      <c r="J27" s="38">
        <f>IF($F27="SLACK-48CORE",$E27,0)</f>
        <v>0</v>
      </c>
      <c r="K27" s="38">
        <f>IF($F27="SLACK-96CORE",$E27,0)</f>
        <v>0</v>
      </c>
      <c r="L27" s="38">
        <f>IF($F27="Slack Support HH",$E27,0)</f>
        <v>0</v>
      </c>
      <c r="M27" s="38">
        <f>IF($F27="HH-PIT-80",1,0)</f>
        <v>0</v>
      </c>
      <c r="N27" s="38">
        <f>IF($F27="AC-OF-SM-12D",$E27,0)</f>
        <v>0</v>
      </c>
      <c r="O27" s="38">
        <f>IF($F27="AC-OF-SM-24D",$E27,0)</f>
        <v>0</v>
      </c>
      <c r="P27" s="38">
        <f>IF($F27="AC-OF-SM-48D",$E27,0)</f>
        <v>0</v>
      </c>
      <c r="Q27" s="38">
        <f>IF($F27="AC-OF-SM-96D",$E27,0)</f>
        <v>0</v>
      </c>
      <c r="R27" s="38">
        <f>IF($F27="AC-OF-SM-ADSS-12D",$E27,0)</f>
        <v>0</v>
      </c>
      <c r="S27" s="38">
        <f>IF($F27="AC-OF-SM-12-SC",$E27,0)</f>
        <v>0</v>
      </c>
      <c r="T27" s="38">
        <f>IF($F27="AC-OF-SM-24-SC",$E27,0)</f>
        <v>0</v>
      </c>
      <c r="U27" s="38">
        <f>IF($F27="AC-OF-SM-48-SC",$E27,0)</f>
        <v>0</v>
      </c>
      <c r="V27" s="38">
        <f>IF($F27="AC-OF-SM-96-SC",$E27,0)</f>
        <v>0</v>
      </c>
      <c r="W27" s="38">
        <f>IF($F27="DC-OF-SM-144D",$E27,0)</f>
        <v>0</v>
      </c>
      <c r="X27" s="38">
        <f>IF($F27="DC-OF-SM-288D",$E27,0)</f>
        <v>0</v>
      </c>
      <c r="Y27" s="38">
        <f>IF($F27="AC-OF-SM-12-SC",$E27,0)</f>
        <v>0</v>
      </c>
      <c r="Z27" s="38">
        <f>IF($F27="SC-OF-SM-12",1,0)</f>
        <v>0</v>
      </c>
      <c r="AA27" s="38">
        <f>IF($F27="SC-OF-SM-12",1,0)</f>
        <v>0</v>
      </c>
      <c r="AB27" s="38">
        <f>IF($F27="SC-OF-SM-12",1,0)</f>
        <v>0</v>
      </c>
      <c r="AC27" s="38">
        <f>IF($F27="SC-OF-SM-12",1,0)</f>
        <v>0</v>
      </c>
      <c r="AD27" s="38">
        <f>IF($F27="SC-OF-SM-12",1,0)</f>
        <v>0</v>
      </c>
      <c r="AE27" s="38">
        <f>IF($F27="SC-OF-SM-24",1,0)</f>
        <v>0</v>
      </c>
      <c r="AF27" s="38">
        <f>IF($F27="OS-SM-1",$E27,0)</f>
        <v>0</v>
      </c>
      <c r="AG27" s="38">
        <f>IF($F27="OS-SM-1",$E27,0)</f>
        <v>0</v>
      </c>
      <c r="AH27" s="38">
        <f>IF($F27="OS-SM-1",$E27,0)</f>
        <v>0</v>
      </c>
      <c r="AI27" s="38">
        <f>IF($F27="OS-SM-1",$E27,0)</f>
        <v>0</v>
      </c>
      <c r="AJ27" s="38">
        <f>IF($F27="OS-SM-1",$E27,0)</f>
        <v>0</v>
      </c>
      <c r="AK27" s="38">
        <v>54</v>
      </c>
      <c r="AL27" s="38">
        <f>IF($F27="OS-SM-1",$E27,0)</f>
        <v>0</v>
      </c>
      <c r="AM27" s="38">
        <f>IF($F27="OS-SM-1",$E27,0)</f>
        <v>0</v>
      </c>
      <c r="AN27" s="38">
        <f>IF($F27="OS-SM-1",$E27,0)</f>
        <v>0</v>
      </c>
      <c r="AO27" s="38">
        <f>IF($F27="OS-SM-1",$E27,0)</f>
        <v>0</v>
      </c>
      <c r="AP27" s="38">
        <v>54</v>
      </c>
      <c r="AQ27" s="38">
        <f>IF($F27="OS-SM-1",$E27,0)</f>
        <v>0</v>
      </c>
      <c r="AR27" s="38">
        <f>IF($F27="OS-SM-1",$E27,0)</f>
        <v>0</v>
      </c>
      <c r="AS27" s="38">
        <f>IF($F27="OS-SM-1",$E27,0)</f>
        <v>0</v>
      </c>
      <c r="AT27" s="38">
        <v>54</v>
      </c>
      <c r="AU27" s="38">
        <f>IF($F27="OS-SM-1",$E27,0)</f>
        <v>0</v>
      </c>
      <c r="AV27" s="38">
        <v>54</v>
      </c>
      <c r="AW27" s="38">
        <f>IF($F27="OS-SM-1",$E27,0)</f>
        <v>0</v>
      </c>
      <c r="AX27" s="38">
        <f>IF($F27="OS-SM-1",$E27,0)</f>
        <v>0</v>
      </c>
      <c r="AY27" s="38">
        <v>54</v>
      </c>
      <c r="AZ27" s="38">
        <f>IF($F27="OS-SM-1",$E27,0)</f>
        <v>0</v>
      </c>
      <c r="BA27" s="38">
        <f>IF($F27="OS-SM-1",$E27,0)</f>
        <v>0</v>
      </c>
      <c r="BB27" s="38">
        <f>IF($F27="OS-SM-1",$E27,0)</f>
        <v>0</v>
      </c>
      <c r="BC27" s="38">
        <f>IF($F27="OS-SM-1",$E27,0)</f>
        <v>0</v>
      </c>
      <c r="BD27" s="38">
        <f>IF($F27="OS-SM-1",$E27,0)</f>
        <v>0</v>
      </c>
      <c r="BE27" s="38">
        <f>IF($F27="OS-SM-1",$E27,0)</f>
        <v>0</v>
      </c>
      <c r="BF27" s="38">
        <f>IF($F27="OS-SM-1",$E27,0)</f>
        <v>0</v>
      </c>
      <c r="BG27" s="38">
        <f>IF($F27="PC-UPC-652-2",$E27,0)</f>
        <v>0</v>
      </c>
      <c r="BH27" s="38">
        <f>IF($F27="PC-APC/UPC-652-A1",$E27,0)</f>
        <v>0</v>
      </c>
      <c r="BI27" s="38">
        <f>IF($F27="OS-SM-1",$E27,0)</f>
        <v>0</v>
      </c>
      <c r="BJ27" s="38">
        <f>IF($F27="ODC-C-144",$E27,0)</f>
        <v>0</v>
      </c>
      <c r="BK27" s="38">
        <f>IF($F27="ODC-C-288",1,0)</f>
        <v>0</v>
      </c>
      <c r="BL27" s="38">
        <f>IF($F27="ODC-PROT-144",1,0)</f>
        <v>0</v>
      </c>
      <c r="BM27" s="38">
        <f>IF($F27="ODC-PROT-288",1,0)</f>
        <v>0</v>
      </c>
      <c r="BN27" s="38">
        <f>IF($F27="ODP-CA-8",1,0)</f>
        <v>0</v>
      </c>
      <c r="BO27" s="38">
        <f>IF($F27="ODP-CA-16",1,0)</f>
        <v>0</v>
      </c>
      <c r="BP27" s="38">
        <f>IF($F27="ODP-A-8",1,0)</f>
        <v>0</v>
      </c>
      <c r="BQ27" s="38">
        <f>IF($F27="ODP-Solid-PB-8",1,0)</f>
        <v>0</v>
      </c>
      <c r="BR27" s="38">
        <f>IF($F27="ODP-Solid-PB-16",1,0)</f>
        <v>0</v>
      </c>
      <c r="BS27" s="38">
        <f>IF($F27="ODP-Solid-PB-8 AS",1,0)</f>
        <v>0</v>
      </c>
      <c r="BT27" s="38">
        <f>IF($F27="ODP-Solid-PB-16 AS",1,0)</f>
        <v>0</v>
      </c>
      <c r="BU27" s="38">
        <f>IF($F27="ODP-PL-16",1,0)</f>
        <v>0</v>
      </c>
      <c r="BV27" s="38">
        <f>IF($F27="TC-SM-12",1,0)</f>
        <v>0</v>
      </c>
      <c r="BW27" s="38">
        <f>IF($F27="TC-SM-12",1,0)</f>
        <v>0</v>
      </c>
      <c r="BX27" s="38">
        <f>IF($F27="TC-SM-48",1,0)</f>
        <v>0</v>
      </c>
      <c r="BY27" s="38">
        <f>IF($F27="TC-SM-96",1,0)</f>
        <v>0</v>
      </c>
      <c r="BZ27" s="38">
        <f>IF($F27="TC-SM-96",1,0)</f>
        <v>0</v>
      </c>
      <c r="CA27" s="38">
        <f>IF($F27="TC-SM-96",1,0)</f>
        <v>0</v>
      </c>
      <c r="CB27" s="38">
        <f>IF($F27="TC-SM-96",1,0)</f>
        <v>0</v>
      </c>
      <c r="CC27" s="38">
        <f>IF($F27="TC-SM-96",1,0)</f>
        <v>0</v>
      </c>
      <c r="CD27" s="38">
        <f>IF($F27="TC-SM-96",1,0)</f>
        <v>0</v>
      </c>
      <c r="CE27" s="38">
        <f>IF($F27="TC-SM-144",1,0)</f>
        <v>0</v>
      </c>
      <c r="CF27" s="38">
        <f>IF($F27="PS-1-4-ODC",$E27,0)</f>
        <v>0</v>
      </c>
      <c r="CG27" s="38">
        <f>IF($F27="PS-1-8-ODP",$E27,0)</f>
        <v>0</v>
      </c>
      <c r="CH27" s="38">
        <f>IF($F27="PS-1-16-ODP",1,0)</f>
        <v>0</v>
      </c>
      <c r="CI27" s="38">
        <f>IF($F27="TC-SM-96",1,0)</f>
        <v>0</v>
      </c>
      <c r="CJ27" s="38">
        <f>IF($F27="TC-SM-96",1,0)</f>
        <v>0</v>
      </c>
      <c r="CK27" s="38">
        <f>IF($F27="SITAC",1,0)</f>
        <v>0</v>
      </c>
      <c r="CL27" s="38">
        <f>IF($F27="PU-S7.0-140",1,0)</f>
        <v>0</v>
      </c>
      <c r="CM27" s="38">
        <f>IF($F27="PU-S7.0-400NM ",1,0)</f>
        <v>0</v>
      </c>
      <c r="CN27" s="38">
        <f>IF($F27="PU-S9.0-140",1,0)</f>
        <v>0</v>
      </c>
      <c r="CO27" s="38"/>
      <c r="CP27" s="38"/>
      <c r="CQ27" s="38"/>
      <c r="CR27" s="38">
        <f>IF($F27="PU-AS-SC",1,0)</f>
        <v>0</v>
      </c>
      <c r="CS27" s="38">
        <f>IF($F27="PU-AS-HL",2,0)</f>
        <v>0</v>
      </c>
      <c r="CT27" s="38">
        <f>IF($F27="STAINLESS BELT",1,0)</f>
        <v>0</v>
      </c>
      <c r="CU27" s="38">
        <f>IF($F27="PU-AS",1,0)</f>
        <v>0</v>
      </c>
      <c r="CV27" s="38">
        <f>IF($F27="GB-G1",1,0)</f>
        <v>0</v>
      </c>
      <c r="CW27" s="38">
        <f>IF($F27="GB-G3",1,0)</f>
        <v>0</v>
      </c>
      <c r="CX27" s="38"/>
      <c r="CY27" s="38">
        <f>IF($F27="TC-02-ODC",$E27,0)</f>
        <v>0</v>
      </c>
      <c r="CZ27" s="38">
        <f>IF($F27="tc-02-odc",1,0)</f>
        <v>0</v>
      </c>
      <c r="DA27" s="38">
        <f>IF($F27="tc-02-odc",1,0)</f>
        <v>0</v>
      </c>
      <c r="DB27" s="38">
        <f>IF($F27="tc-02-odc",1,0)</f>
        <v>0</v>
      </c>
      <c r="DC27" s="38">
        <f>IF($F27="tc-02-odc",1,0)</f>
        <v>0</v>
      </c>
      <c r="DD27" s="38">
        <f>IF($F27="tc-02-odc",1,0)</f>
        <v>0</v>
      </c>
      <c r="DE27" s="38">
        <f>IF($F27="tc-02-odc",1,0)</f>
        <v>0</v>
      </c>
      <c r="DF27" s="38">
        <f>IF($F27="tc-02-odc",1,0)</f>
        <v>0</v>
      </c>
      <c r="DG27" s="38">
        <f>IF($F27="tc-02-odc",1,0)</f>
        <v>0</v>
      </c>
      <c r="DH27" s="38">
        <f>IF($F27="tc-02-odc",1,0)</f>
        <v>0</v>
      </c>
      <c r="DI27" s="38">
        <f>IF($F27="tc-02-odc",1,0)</f>
        <v>0</v>
      </c>
      <c r="DJ27" s="38">
        <f>IF($F27="tc-02-odc",1,0)</f>
        <v>0</v>
      </c>
      <c r="DK27" s="38">
        <f>IF($F27="tc-02-odc",1,0)</f>
        <v>0</v>
      </c>
      <c r="DL27" s="38">
        <f>IF($F27="tc-02-odc",1,0)</f>
        <v>0</v>
      </c>
      <c r="DM27" s="38">
        <f>IF($F27="tc-02-odc",1,0)</f>
        <v>0</v>
      </c>
      <c r="DN27" s="38">
        <f>IF($F27="tc-02-odc",1,0)</f>
        <v>0</v>
      </c>
      <c r="DO27" s="38">
        <f>IF($F27="tc-02-odc",1,0)</f>
        <v>0</v>
      </c>
      <c r="DP27" s="38">
        <f>IF($F27="tc-02-odc",1,0)</f>
        <v>0</v>
      </c>
      <c r="DQ27" s="38">
        <f>IF($F27="tc-02-odc",1,0)</f>
        <v>0</v>
      </c>
      <c r="DR27" s="38">
        <f>IF($F27="tc-02-odc",1,0)</f>
        <v>0</v>
      </c>
      <c r="DS27" s="38">
        <f>IF($F27="tc-02-odc",1,0)</f>
        <v>0</v>
      </c>
      <c r="DT27" s="38">
        <f>IF($F27="tc-02-odc",1,0)</f>
        <v>0</v>
      </c>
      <c r="DU27" s="38">
        <f>IF($F27="tc-02-odc",1,0)</f>
        <v>0</v>
      </c>
      <c r="DV27" s="38">
        <f>IF($F27="tc-02-odc",1,0)</f>
        <v>0</v>
      </c>
      <c r="DW27" s="38">
        <f>IF($F27="tc-02-odc",1,0)</f>
        <v>0</v>
      </c>
      <c r="DX27" s="38">
        <f>IF($F27="tc-02-odc",1,0)</f>
        <v>0</v>
      </c>
      <c r="DY27" s="38">
        <f>IF($F27="tc-02-odc",1,0)</f>
        <v>0</v>
      </c>
      <c r="DZ27" s="38">
        <f>IF($F27="tc-02-odc",1,0)</f>
        <v>0</v>
      </c>
      <c r="EA27" s="38">
        <f>IF($F27="tc-02-odc",1,0)</f>
        <v>0</v>
      </c>
      <c r="EB27" s="38">
        <f>IF($F27="tc-02-odc",1,0)</f>
        <v>0</v>
      </c>
      <c r="EC27" s="38">
        <f>IF($F27="tc-02-odc",1,0)</f>
        <v>0</v>
      </c>
      <c r="ED27" s="38">
        <f>IF($F27="tc-02-odc",1,0)</f>
        <v>0</v>
      </c>
      <c r="EE27" s="38">
        <f>IF($F27="DCD-PVC-1",1,0)</f>
        <v>0</v>
      </c>
      <c r="EF27" s="38">
        <f>IF($F27="tc-02-odc",1,0)</f>
        <v>0</v>
      </c>
      <c r="EG27" s="38">
        <f>IF($F27="tc-02-odc",1,0)</f>
        <v>0</v>
      </c>
      <c r="EH27" s="38">
        <f>IF($F27="tc-02-odc",1,0)</f>
        <v>0</v>
      </c>
      <c r="EI27" s="38">
        <f>IF($F27="tc-02-odc",1,0)</f>
        <v>0</v>
      </c>
      <c r="EJ27" s="38">
        <f>IF($F27="tc-02-odc",1,0)</f>
        <v>0</v>
      </c>
      <c r="EK27" s="38">
        <f>IF($F27="tc-02-odc",1,0)</f>
        <v>0</v>
      </c>
      <c r="EL27" s="38">
        <f>IF($F27="tc-02-odc",1,0)</f>
        <v>0</v>
      </c>
      <c r="EM27" s="38">
        <f>IF($F27="tc-02-odc",1,0)</f>
        <v>0</v>
      </c>
      <c r="EN27" s="38">
        <f>IF($F27="DD-HDPE-40-1",$E27,0)</f>
        <v>0</v>
      </c>
      <c r="EO27" s="38">
        <f>IF($F27="DD-HDPE-40-1",$E27,0)</f>
        <v>0</v>
      </c>
      <c r="EP27" s="38">
        <f>IF($F27="DD-HDPE-50-1",$E27,0)</f>
        <v>0</v>
      </c>
      <c r="EQ27" s="38"/>
      <c r="ER27" s="38"/>
      <c r="ES27" s="38"/>
      <c r="ET27" s="38"/>
      <c r="EU27" s="38"/>
      <c r="EV27" s="38"/>
      <c r="EW27" s="38"/>
      <c r="EX27" s="38"/>
      <c r="EY27" s="38"/>
      <c r="EZ27" s="38"/>
      <c r="FA27" s="38"/>
      <c r="FB27" s="38"/>
      <c r="FC27" s="38"/>
      <c r="FD27" s="38"/>
      <c r="FE27" s="38"/>
      <c r="FF27" s="94"/>
      <c r="FG27" s="94"/>
      <c r="FH27" s="94"/>
      <c r="FI27" s="94"/>
      <c r="FJ27" s="94"/>
      <c r="FK27" s="94"/>
      <c r="FL27" s="94"/>
      <c r="FM27" s="94"/>
      <c r="FN27" s="94"/>
      <c r="FO27" s="94"/>
      <c r="FP27" s="94"/>
      <c r="FQ27" s="94"/>
      <c r="FR27" s="94"/>
      <c r="FS27" s="94"/>
      <c r="FT27" s="94"/>
      <c r="FU27" s="94"/>
      <c r="FV27" s="94"/>
      <c r="FW27" s="94"/>
      <c r="FX27" s="94"/>
      <c r="FY27" s="94"/>
      <c r="FZ27" s="94"/>
      <c r="GA27" s="94"/>
      <c r="GB27" s="94"/>
      <c r="GC27" s="94"/>
      <c r="GD27" s="94"/>
      <c r="GE27" s="94"/>
      <c r="GF27" s="94"/>
      <c r="GG27" s="94"/>
      <c r="GH27" s="94"/>
      <c r="GI27" s="94"/>
      <c r="GJ27" s="94"/>
      <c r="GK27" s="94"/>
      <c r="GL27" s="94"/>
      <c r="GM27" s="94"/>
      <c r="GN27" s="94"/>
      <c r="GO27" s="94"/>
      <c r="GP27" s="94"/>
      <c r="GQ27" s="94"/>
      <c r="GR27" s="94"/>
      <c r="GS27" s="94"/>
      <c r="GT27" s="94"/>
      <c r="GU27" s="94"/>
      <c r="GV27" s="94"/>
      <c r="GW27" s="94"/>
      <c r="GX27" s="94"/>
      <c r="GY27" s="94"/>
      <c r="GZ27" s="94"/>
      <c r="HA27" s="76"/>
      <c r="HB27" s="77"/>
      <c r="HC27" s="74"/>
    </row>
    <row r="28" spans="1:212" customHeight="1" ht="17.25" s="4" customFormat="1">
      <c r="A28" s="63"/>
      <c r="B28" s="31"/>
      <c r="C28" s="88"/>
      <c r="D28" s="88"/>
      <c r="E28" s="92"/>
      <c r="F28" s="93"/>
      <c r="G28" s="37">
        <f>IF($F28="SLACK-12CORE",$E28,0)</f>
        <v>0</v>
      </c>
      <c r="H28" s="37">
        <f>IF($F28="Slack Support HH",1,0)</f>
        <v>0</v>
      </c>
      <c r="I28" s="38">
        <f>IF($F28="SLACK-24CORE",$E28,0)</f>
        <v>0</v>
      </c>
      <c r="J28" s="38">
        <f>IF($F28="SLACK-48CORE",$E28,0)</f>
        <v>0</v>
      </c>
      <c r="K28" s="38">
        <f>IF($F28="SLACK-96CORE",$E28,0)</f>
        <v>0</v>
      </c>
      <c r="L28" s="38">
        <f>IF($F28="Slack Support HH",$E28,0)</f>
        <v>0</v>
      </c>
      <c r="M28" s="38">
        <f>IF($F28="HH-PIT-80",1,0)</f>
        <v>0</v>
      </c>
      <c r="N28" s="38">
        <f>IF($F28="AC-OF-SM-12D",$E28,0)</f>
        <v>0</v>
      </c>
      <c r="O28" s="38">
        <f>IF($F28="AC-OF-SM-24D",$E28,0)</f>
        <v>0</v>
      </c>
      <c r="P28" s="38">
        <f>IF($F28="AC-OF-SM-48D",$E28,0)</f>
        <v>0</v>
      </c>
      <c r="Q28" s="38">
        <f>IF($F28="AC-OF-SM-96D",$E28,0)</f>
        <v>0</v>
      </c>
      <c r="R28" s="38">
        <f>IF($F28="AC-OF-SM-ADSS-12D",$E28,0)</f>
        <v>0</v>
      </c>
      <c r="S28" s="38">
        <f>IF($F28="AC-OF-SM-12-SC",$E28,0)</f>
        <v>0</v>
      </c>
      <c r="T28" s="38">
        <f>IF($F28="AC-OF-SM-24-SC",$E28,0)</f>
        <v>0</v>
      </c>
      <c r="U28" s="38">
        <f>IF($F28="AC-OF-SM-48-SC",$E28,0)</f>
        <v>0</v>
      </c>
      <c r="V28" s="38">
        <f>IF($F28="AC-OF-SM-96-SC",$E28,0)</f>
        <v>0</v>
      </c>
      <c r="W28" s="38">
        <f>IF($F28="DC-OF-SM-144D",$E28,0)</f>
        <v>0</v>
      </c>
      <c r="X28" s="38">
        <f>IF($F28="DC-OF-SM-288D",$E28,0)</f>
        <v>0</v>
      </c>
      <c r="Y28" s="38">
        <f>IF($F28="AC-OF-SM-12-SC",$E28,0)</f>
        <v>0</v>
      </c>
      <c r="Z28" s="38">
        <f>IF($F28="SC-OF-SM-12",1,0)</f>
        <v>0</v>
      </c>
      <c r="AA28" s="38">
        <f>IF($F28="SC-OF-SM-12",1,0)</f>
        <v>0</v>
      </c>
      <c r="AB28" s="38">
        <f>IF($F28="SC-OF-SM-12",1,0)</f>
        <v>0</v>
      </c>
      <c r="AC28" s="38">
        <f>IF($F28="SC-OF-SM-12",1,0)</f>
        <v>0</v>
      </c>
      <c r="AD28" s="38">
        <f>IF($F28="SC-OF-SM-12",1,0)</f>
        <v>0</v>
      </c>
      <c r="AE28" s="38">
        <f>IF($F28="SC-OF-SM-24",1,0)</f>
        <v>0</v>
      </c>
      <c r="AF28" s="38">
        <f>IF($F28="OS-SM-1",$E28,0)</f>
        <v>0</v>
      </c>
      <c r="AG28" s="38">
        <f>IF($F28="OS-SM-1",$E28,0)</f>
        <v>0</v>
      </c>
      <c r="AH28" s="38">
        <f>IF($F28="OS-SM-1",$E28,0)</f>
        <v>0</v>
      </c>
      <c r="AI28" s="38">
        <f>IF($F28="OS-SM-1",$E28,0)</f>
        <v>0</v>
      </c>
      <c r="AJ28" s="38">
        <f>IF($F28="OS-SM-1",$E28,0)</f>
        <v>0</v>
      </c>
      <c r="AK28" s="38">
        <v>54</v>
      </c>
      <c r="AL28" s="38">
        <f>IF($F28="OS-SM-1",$E28,0)</f>
        <v>0</v>
      </c>
      <c r="AM28" s="38">
        <f>IF($F28="OS-SM-1",$E28,0)</f>
        <v>0</v>
      </c>
      <c r="AN28" s="38">
        <f>IF($F28="OS-SM-1",$E28,0)</f>
        <v>0</v>
      </c>
      <c r="AO28" s="38">
        <f>IF($F28="OS-SM-1",$E28,0)</f>
        <v>0</v>
      </c>
      <c r="AP28" s="38">
        <v>54</v>
      </c>
      <c r="AQ28" s="38">
        <f>IF($F28="OS-SM-1",$E28,0)</f>
        <v>0</v>
      </c>
      <c r="AR28" s="38">
        <f>IF($F28="OS-SM-1",$E28,0)</f>
        <v>0</v>
      </c>
      <c r="AS28" s="38">
        <f>IF($F28="OS-SM-1",$E28,0)</f>
        <v>0</v>
      </c>
      <c r="AT28" s="38">
        <v>54</v>
      </c>
      <c r="AU28" s="38">
        <f>IF($F28="OS-SM-1",$E28,0)</f>
        <v>0</v>
      </c>
      <c r="AV28" s="38">
        <v>54</v>
      </c>
      <c r="AW28" s="38">
        <f>IF($F28="OS-SM-1",$E28,0)</f>
        <v>0</v>
      </c>
      <c r="AX28" s="38">
        <f>IF($F28="OS-SM-1",$E28,0)</f>
        <v>0</v>
      </c>
      <c r="AY28" s="38">
        <v>54</v>
      </c>
      <c r="AZ28" s="38">
        <f>IF($F28="OS-SM-1",$E28,0)</f>
        <v>0</v>
      </c>
      <c r="BA28" s="38">
        <f>IF($F28="OS-SM-1",$E28,0)</f>
        <v>0</v>
      </c>
      <c r="BB28" s="38">
        <f>IF($F28="OS-SM-1",$E28,0)</f>
        <v>0</v>
      </c>
      <c r="BC28" s="38">
        <f>IF($F28="OS-SM-1",$E28,0)</f>
        <v>0</v>
      </c>
      <c r="BD28" s="38">
        <f>IF($F28="OS-SM-1",$E28,0)</f>
        <v>0</v>
      </c>
      <c r="BE28" s="38">
        <f>IF($F28="OS-SM-1",$E28,0)</f>
        <v>0</v>
      </c>
      <c r="BF28" s="38">
        <f>IF($F28="OS-SM-1",$E28,0)</f>
        <v>0</v>
      </c>
      <c r="BG28" s="38">
        <f>IF($F28="PC-UPC-652-2",$E28,0)</f>
        <v>0</v>
      </c>
      <c r="BH28" s="38">
        <f>IF($F28="PC-APC/UPC-652-A1",$E28,0)</f>
        <v>0</v>
      </c>
      <c r="BI28" s="38">
        <f>IF($F28="OS-SM-1",$E28,0)</f>
        <v>0</v>
      </c>
      <c r="BJ28" s="38">
        <f>IF($F28="ODC-C-144",$E28,0)</f>
        <v>0</v>
      </c>
      <c r="BK28" s="38">
        <f>IF($F28="ODC-C-288",1,0)</f>
        <v>0</v>
      </c>
      <c r="BL28" s="38">
        <f>IF($F28="ODC-PROT-144",1,0)</f>
        <v>0</v>
      </c>
      <c r="BM28" s="38">
        <f>IF($F28="ODC-PROT-288",1,0)</f>
        <v>0</v>
      </c>
      <c r="BN28" s="38">
        <f>IF($F28="ODP-CA-8",1,0)</f>
        <v>0</v>
      </c>
      <c r="BO28" s="38">
        <f>IF($F28="ODP-CA-16",1,0)</f>
        <v>0</v>
      </c>
      <c r="BP28" s="38">
        <f>IF($F28="ODP-A-8",1,0)</f>
        <v>0</v>
      </c>
      <c r="BQ28" s="38">
        <f>IF($F28="ODP-Solid-PB-8",1,0)</f>
        <v>0</v>
      </c>
      <c r="BR28" s="38">
        <f>IF($F28="ODP-Solid-PB-16",1,0)</f>
        <v>0</v>
      </c>
      <c r="BS28" s="38">
        <f>IF($F28="ODP-Solid-PB-8 AS",1,0)</f>
        <v>0</v>
      </c>
      <c r="BT28" s="38">
        <f>IF($F28="ODP-Solid-PB-16 AS",1,0)</f>
        <v>0</v>
      </c>
      <c r="BU28" s="38">
        <f>IF($F28="ODP-PL-16",1,0)</f>
        <v>0</v>
      </c>
      <c r="BV28" s="38">
        <f>IF($F28="TC-SM-12",1,0)</f>
        <v>0</v>
      </c>
      <c r="BW28" s="38">
        <f>IF($F28="TC-SM-12",1,0)</f>
        <v>0</v>
      </c>
      <c r="BX28" s="38">
        <f>IF($F28="TC-SM-48",1,0)</f>
        <v>0</v>
      </c>
      <c r="BY28" s="38">
        <f>IF($F28="TC-SM-96",1,0)</f>
        <v>0</v>
      </c>
      <c r="BZ28" s="38">
        <f>IF($F28="TC-SM-96",1,0)</f>
        <v>0</v>
      </c>
      <c r="CA28" s="38">
        <f>IF($F28="TC-SM-96",1,0)</f>
        <v>0</v>
      </c>
      <c r="CB28" s="38">
        <f>IF($F28="TC-SM-96",1,0)</f>
        <v>0</v>
      </c>
      <c r="CC28" s="38">
        <f>IF($F28="TC-SM-96",1,0)</f>
        <v>0</v>
      </c>
      <c r="CD28" s="38">
        <f>IF($F28="TC-SM-96",1,0)</f>
        <v>0</v>
      </c>
      <c r="CE28" s="38">
        <f>IF($F28="TC-SM-144",1,0)</f>
        <v>0</v>
      </c>
      <c r="CF28" s="38">
        <f>IF($F28="PS-1-4-ODC",$E28,0)</f>
        <v>0</v>
      </c>
      <c r="CG28" s="38">
        <f>IF($F28="PS-1-8-ODP",$E28,0)</f>
        <v>0</v>
      </c>
      <c r="CH28" s="38">
        <f>IF($F28="PS-1-16-ODP",1,0)</f>
        <v>0</v>
      </c>
      <c r="CI28" s="38">
        <f>IF($F28="TC-SM-96",1,0)</f>
        <v>0</v>
      </c>
      <c r="CJ28" s="38">
        <f>IF($F28="TC-SM-96",1,0)</f>
        <v>0</v>
      </c>
      <c r="CK28" s="38">
        <f>IF($F28="SITAC",1,0)</f>
        <v>0</v>
      </c>
      <c r="CL28" s="38">
        <f>IF($F28="PU-S7.0-140",1,0)</f>
        <v>0</v>
      </c>
      <c r="CM28" s="38">
        <f>IF($F28="PU-S7.0-400NM ",1,0)</f>
        <v>0</v>
      </c>
      <c r="CN28" s="38">
        <f>IF($F28="PU-S9.0-140",1,0)</f>
        <v>0</v>
      </c>
      <c r="CO28" s="38"/>
      <c r="CP28" s="38"/>
      <c r="CQ28" s="38"/>
      <c r="CR28" s="38">
        <f>IF($F28="PU-AS-SC",1,0)</f>
        <v>0</v>
      </c>
      <c r="CS28" s="38">
        <f>IF($F28="PU-AS-HL",2,0)</f>
        <v>0</v>
      </c>
      <c r="CT28" s="38">
        <f>IF($F28="STAINLESS BELT",1,0)</f>
        <v>0</v>
      </c>
      <c r="CU28" s="38">
        <f>IF($F28="PU-AS",1,0)</f>
        <v>0</v>
      </c>
      <c r="CV28" s="38">
        <f>IF($F28="GB-G1",1,0)</f>
        <v>0</v>
      </c>
      <c r="CW28" s="38">
        <f>IF($F28="GB-G3",1,0)</f>
        <v>0</v>
      </c>
      <c r="CX28" s="38"/>
      <c r="CY28" s="38">
        <f>IF($F28="TC-02-ODC",$E28,0)</f>
        <v>0</v>
      </c>
      <c r="CZ28" s="38">
        <f>IF($F28="tc-02-odc",1,0)</f>
        <v>0</v>
      </c>
      <c r="DA28" s="38">
        <f>IF($F28="tc-02-odc",1,0)</f>
        <v>0</v>
      </c>
      <c r="DB28" s="38">
        <f>IF($F28="tc-02-odc",1,0)</f>
        <v>0</v>
      </c>
      <c r="DC28" s="38">
        <f>IF($F28="tc-02-odc",1,0)</f>
        <v>0</v>
      </c>
      <c r="DD28" s="38">
        <f>IF($F28="tc-02-odc",1,0)</f>
        <v>0</v>
      </c>
      <c r="DE28" s="38">
        <f>IF($F28="tc-02-odc",1,0)</f>
        <v>0</v>
      </c>
      <c r="DF28" s="38">
        <f>IF($F28="tc-02-odc",1,0)</f>
        <v>0</v>
      </c>
      <c r="DG28" s="38">
        <f>IF($F28="tc-02-odc",1,0)</f>
        <v>0</v>
      </c>
      <c r="DH28" s="38">
        <f>IF($F28="tc-02-odc",1,0)</f>
        <v>0</v>
      </c>
      <c r="DI28" s="38">
        <f>IF($F28="tc-02-odc",1,0)</f>
        <v>0</v>
      </c>
      <c r="DJ28" s="38">
        <f>IF($F28="tc-02-odc",1,0)</f>
        <v>0</v>
      </c>
      <c r="DK28" s="38">
        <f>IF($F28="tc-02-odc",1,0)</f>
        <v>0</v>
      </c>
      <c r="DL28" s="38">
        <f>IF($F28="tc-02-odc",1,0)</f>
        <v>0</v>
      </c>
      <c r="DM28" s="38">
        <f>IF($F28="tc-02-odc",1,0)</f>
        <v>0</v>
      </c>
      <c r="DN28" s="38">
        <f>IF($F28="tc-02-odc",1,0)</f>
        <v>0</v>
      </c>
      <c r="DO28" s="38">
        <f>IF($F28="tc-02-odc",1,0)</f>
        <v>0</v>
      </c>
      <c r="DP28" s="38">
        <f>IF($F28="tc-02-odc",1,0)</f>
        <v>0</v>
      </c>
      <c r="DQ28" s="38">
        <f>IF($F28="tc-02-odc",1,0)</f>
        <v>0</v>
      </c>
      <c r="DR28" s="38">
        <f>IF($F28="tc-02-odc",1,0)</f>
        <v>0</v>
      </c>
      <c r="DS28" s="38">
        <f>IF($F28="tc-02-odc",1,0)</f>
        <v>0</v>
      </c>
      <c r="DT28" s="38">
        <f>IF($F28="tc-02-odc",1,0)</f>
        <v>0</v>
      </c>
      <c r="DU28" s="38">
        <f>IF($F28="tc-02-odc",1,0)</f>
        <v>0</v>
      </c>
      <c r="DV28" s="38">
        <f>IF($F28="tc-02-odc",1,0)</f>
        <v>0</v>
      </c>
      <c r="DW28" s="38">
        <f>IF($F28="tc-02-odc",1,0)</f>
        <v>0</v>
      </c>
      <c r="DX28" s="38">
        <f>IF($F28="tc-02-odc",1,0)</f>
        <v>0</v>
      </c>
      <c r="DY28" s="38">
        <f>IF($F28="tc-02-odc",1,0)</f>
        <v>0</v>
      </c>
      <c r="DZ28" s="38">
        <f>IF($F28="tc-02-odc",1,0)</f>
        <v>0</v>
      </c>
      <c r="EA28" s="38">
        <f>IF($F28="tc-02-odc",1,0)</f>
        <v>0</v>
      </c>
      <c r="EB28" s="38">
        <f>IF($F28="tc-02-odc",1,0)</f>
        <v>0</v>
      </c>
      <c r="EC28" s="38">
        <f>IF($F28="tc-02-odc",1,0)</f>
        <v>0</v>
      </c>
      <c r="ED28" s="38">
        <f>IF($F28="tc-02-odc",1,0)</f>
        <v>0</v>
      </c>
      <c r="EE28" s="38">
        <f>IF($F28="DCD-PVC-1",1,0)</f>
        <v>0</v>
      </c>
      <c r="EF28" s="38">
        <f>IF($F28="tc-02-odc",1,0)</f>
        <v>0</v>
      </c>
      <c r="EG28" s="38">
        <f>IF($F28="tc-02-odc",1,0)</f>
        <v>0</v>
      </c>
      <c r="EH28" s="38">
        <f>IF($F28="tc-02-odc",1,0)</f>
        <v>0</v>
      </c>
      <c r="EI28" s="38">
        <f>IF($F28="tc-02-odc",1,0)</f>
        <v>0</v>
      </c>
      <c r="EJ28" s="38">
        <f>IF($F28="tc-02-odc",1,0)</f>
        <v>0</v>
      </c>
      <c r="EK28" s="38">
        <f>IF($F28="tc-02-odc",1,0)</f>
        <v>0</v>
      </c>
      <c r="EL28" s="38">
        <f>IF($F28="tc-02-odc",1,0)</f>
        <v>0</v>
      </c>
      <c r="EM28" s="38">
        <f>IF($F28="tc-02-odc",1,0)</f>
        <v>0</v>
      </c>
      <c r="EN28" s="38">
        <f>IF($F28="DD-HDPE-40-1",$E28,0)</f>
        <v>0</v>
      </c>
      <c r="EO28" s="38">
        <f>IF($F28="DD-HDPE-40-1",$E28,0)</f>
        <v>0</v>
      </c>
      <c r="EP28" s="38">
        <f>IF($F28="DD-HDPE-50-1",$E28,0)</f>
        <v>0</v>
      </c>
      <c r="EQ28" s="38"/>
      <c r="ER28" s="38"/>
      <c r="ES28" s="38"/>
      <c r="ET28" s="38"/>
      <c r="EU28" s="38"/>
      <c r="EV28" s="38"/>
      <c r="EW28" s="38"/>
      <c r="EX28" s="38"/>
      <c r="EY28" s="38"/>
      <c r="EZ28" s="38"/>
      <c r="FA28" s="38"/>
      <c r="FB28" s="38"/>
      <c r="FC28" s="38"/>
      <c r="FD28" s="38"/>
      <c r="FE28" s="38"/>
      <c r="FF28" s="94"/>
      <c r="FG28" s="94"/>
      <c r="FH28" s="94"/>
      <c r="FI28" s="94"/>
      <c r="FJ28" s="94"/>
      <c r="FK28" s="94"/>
      <c r="FL28" s="94"/>
      <c r="FM28" s="94"/>
      <c r="FN28" s="94"/>
      <c r="FO28" s="94"/>
      <c r="FP28" s="94"/>
      <c r="FQ28" s="94"/>
      <c r="FR28" s="94"/>
      <c r="FS28" s="94"/>
      <c r="FT28" s="94"/>
      <c r="FU28" s="94"/>
      <c r="FV28" s="94"/>
      <c r="FW28" s="94"/>
      <c r="FX28" s="94"/>
      <c r="FY28" s="94"/>
      <c r="FZ28" s="94"/>
      <c r="GA28" s="94"/>
      <c r="GB28" s="94"/>
      <c r="GC28" s="94"/>
      <c r="GD28" s="94"/>
      <c r="GE28" s="94"/>
      <c r="GF28" s="94"/>
      <c r="GG28" s="94"/>
      <c r="GH28" s="94"/>
      <c r="GI28" s="94"/>
      <c r="GJ28" s="94"/>
      <c r="GK28" s="94"/>
      <c r="GL28" s="94"/>
      <c r="GM28" s="94"/>
      <c r="GN28" s="94"/>
      <c r="GO28" s="94"/>
      <c r="GP28" s="94"/>
      <c r="GQ28" s="94"/>
      <c r="GR28" s="94"/>
      <c r="GS28" s="94"/>
      <c r="GT28" s="94"/>
      <c r="GU28" s="94"/>
      <c r="GV28" s="94"/>
      <c r="GW28" s="94"/>
      <c r="GX28" s="94"/>
      <c r="GY28" s="94"/>
      <c r="GZ28" s="94"/>
      <c r="HA28" s="76"/>
      <c r="HB28" s="77"/>
      <c r="HC28" s="74"/>
    </row>
    <row r="29" spans="1:212" customHeight="1" ht="17.25" s="4" customFormat="1">
      <c r="A29" s="63"/>
      <c r="B29" s="31"/>
      <c r="C29" s="88"/>
      <c r="D29" s="88"/>
      <c r="E29" s="92"/>
      <c r="F29" s="93"/>
      <c r="G29" s="37">
        <f>IF($F29="SLACK-12CORE",$E29,0)</f>
        <v>0</v>
      </c>
      <c r="H29" s="37">
        <f>IF($F29="Slack Support HH",1,0)</f>
        <v>0</v>
      </c>
      <c r="I29" s="38">
        <f>IF($F29="SLACK-24CORE",$E29,0)</f>
        <v>0</v>
      </c>
      <c r="J29" s="38">
        <f>IF($F29="SLACK-48CORE",$E29,0)</f>
        <v>0</v>
      </c>
      <c r="K29" s="38">
        <f>IF($F29="SLACK-96CORE",$E29,0)</f>
        <v>0</v>
      </c>
      <c r="L29" s="38">
        <f>IF($F29="Slack Support HH",$E29,0)</f>
        <v>0</v>
      </c>
      <c r="M29" s="38">
        <f>IF($F29="HH-PIT-80",1,0)</f>
        <v>0</v>
      </c>
      <c r="N29" s="38">
        <f>IF($F29="AC-OF-SM-12D",$E29,0)</f>
        <v>0</v>
      </c>
      <c r="O29" s="38">
        <f>IF($F29="AC-OF-SM-24D",$E29,0)</f>
        <v>0</v>
      </c>
      <c r="P29" s="38">
        <f>IF($F29="AC-OF-SM-48D",$E29,0)</f>
        <v>0</v>
      </c>
      <c r="Q29" s="38">
        <f>IF($F29="AC-OF-SM-96D",$E29,0)</f>
        <v>0</v>
      </c>
      <c r="R29" s="38">
        <f>IF($F29="AC-OF-SM-ADSS-12D",$E29,0)</f>
        <v>0</v>
      </c>
      <c r="S29" s="38">
        <f>IF($F29="AC-OF-SM-12-SC",$E29,0)</f>
        <v>0</v>
      </c>
      <c r="T29" s="38">
        <f>IF($F29="AC-OF-SM-24-SC",$E29,0)</f>
        <v>0</v>
      </c>
      <c r="U29" s="38">
        <f>IF($F29="AC-OF-SM-48-SC",$E29,0)</f>
        <v>0</v>
      </c>
      <c r="V29" s="38">
        <f>IF($F29="AC-OF-SM-96-SC",$E29,0)</f>
        <v>0</v>
      </c>
      <c r="W29" s="38">
        <f>IF($F29="DC-OF-SM-144D",$E29,0)</f>
        <v>0</v>
      </c>
      <c r="X29" s="38">
        <f>IF($F29="DC-OF-SM-288D",$E29,0)</f>
        <v>0</v>
      </c>
      <c r="Y29" s="38">
        <f>IF($F29="AC-OF-SM-12-SC",$E29,0)</f>
        <v>0</v>
      </c>
      <c r="Z29" s="38">
        <f>IF($F29="SC-OF-SM-12",1,0)</f>
        <v>0</v>
      </c>
      <c r="AA29" s="38">
        <f>IF($F29="SC-OF-SM-12",1,0)</f>
        <v>0</v>
      </c>
      <c r="AB29" s="38">
        <f>IF($F29="SC-OF-SM-12",1,0)</f>
        <v>0</v>
      </c>
      <c r="AC29" s="38">
        <f>IF($F29="SC-OF-SM-12",1,0)</f>
        <v>0</v>
      </c>
      <c r="AD29" s="38">
        <f>IF($F29="SC-OF-SM-12",1,0)</f>
        <v>0</v>
      </c>
      <c r="AE29" s="38">
        <f>IF($F29="SC-OF-SM-24",1,0)</f>
        <v>0</v>
      </c>
      <c r="AF29" s="38">
        <f>IF($F29="OS-SM-1",$E29,0)</f>
        <v>0</v>
      </c>
      <c r="AG29" s="38">
        <f>IF($F29="OS-SM-1",$E29,0)</f>
        <v>0</v>
      </c>
      <c r="AH29" s="38">
        <f>IF($F29="OS-SM-1",$E29,0)</f>
        <v>0</v>
      </c>
      <c r="AI29" s="38">
        <f>IF($F29="OS-SM-1",$E29,0)</f>
        <v>0</v>
      </c>
      <c r="AJ29" s="38">
        <f>IF($F29="OS-SM-1",$E29,0)</f>
        <v>0</v>
      </c>
      <c r="AK29" s="38">
        <v>55</v>
      </c>
      <c r="AL29" s="38">
        <f>IF($F29="OS-SM-1",$E29,0)</f>
        <v>0</v>
      </c>
      <c r="AM29" s="38">
        <f>IF($F29="OS-SM-1",$E29,0)</f>
        <v>0</v>
      </c>
      <c r="AN29" s="38">
        <f>IF($F29="OS-SM-1",$E29,0)</f>
        <v>0</v>
      </c>
      <c r="AO29" s="38">
        <f>IF($F29="OS-SM-1",$E29,0)</f>
        <v>0</v>
      </c>
      <c r="AP29" s="38">
        <v>55</v>
      </c>
      <c r="AQ29" s="38">
        <f>IF($F29="OS-SM-1",$E29,0)</f>
        <v>0</v>
      </c>
      <c r="AR29" s="38">
        <f>IF($F29="OS-SM-1",$E29,0)</f>
        <v>0</v>
      </c>
      <c r="AS29" s="38">
        <f>IF($F29="OS-SM-1",$E29,0)</f>
        <v>0</v>
      </c>
      <c r="AT29" s="38">
        <v>55</v>
      </c>
      <c r="AU29" s="38">
        <f>IF($F29="OS-SM-1",$E29,0)</f>
        <v>0</v>
      </c>
      <c r="AV29" s="38">
        <v>55</v>
      </c>
      <c r="AW29" s="38">
        <f>IF($F29="OS-SM-1",$E29,0)</f>
        <v>0</v>
      </c>
      <c r="AX29" s="38">
        <f>IF($F29="OS-SM-1",$E29,0)</f>
        <v>0</v>
      </c>
      <c r="AY29" s="38">
        <v>55</v>
      </c>
      <c r="AZ29" s="38">
        <f>IF($F29="OS-SM-1",$E29,0)</f>
        <v>0</v>
      </c>
      <c r="BA29" s="38">
        <f>IF($F29="OS-SM-1",$E29,0)</f>
        <v>0</v>
      </c>
      <c r="BB29" s="38">
        <f>IF($F29="OS-SM-1",$E29,0)</f>
        <v>0</v>
      </c>
      <c r="BC29" s="38">
        <f>IF($F29="OS-SM-1",$E29,0)</f>
        <v>0</v>
      </c>
      <c r="BD29" s="38">
        <f>IF($F29="OS-SM-1",$E29,0)</f>
        <v>0</v>
      </c>
      <c r="BE29" s="38">
        <f>IF($F29="OS-SM-1",$E29,0)</f>
        <v>0</v>
      </c>
      <c r="BF29" s="38">
        <f>IF($F29="OS-SM-1",$E29,0)</f>
        <v>0</v>
      </c>
      <c r="BG29" s="38">
        <f>IF($F29="PC-UPC-652-2",$E29,0)</f>
        <v>0</v>
      </c>
      <c r="BH29" s="38">
        <f>IF($F29="PC-APC/UPC-652-A1",$E29,0)</f>
        <v>0</v>
      </c>
      <c r="BI29" s="38">
        <f>IF($F29="OS-SM-1",$E29,0)</f>
        <v>0</v>
      </c>
      <c r="BJ29" s="38">
        <f>IF($F29="ODC-C-144",$E29,0)</f>
        <v>0</v>
      </c>
      <c r="BK29" s="38">
        <f>IF($F29="ODC-C-288",1,0)</f>
        <v>0</v>
      </c>
      <c r="BL29" s="38">
        <f>IF($F29="ODC-PROT-144",1,0)</f>
        <v>0</v>
      </c>
      <c r="BM29" s="38">
        <f>IF($F29="ODC-PROT-288",1,0)</f>
        <v>0</v>
      </c>
      <c r="BN29" s="38">
        <f>IF($F29="ODP-CA-8",1,0)</f>
        <v>0</v>
      </c>
      <c r="BO29" s="38">
        <f>IF($F29="ODP-CA-16",1,0)</f>
        <v>0</v>
      </c>
      <c r="BP29" s="38">
        <f>IF($F29="ODP-A-8",1,0)</f>
        <v>0</v>
      </c>
      <c r="BQ29" s="38">
        <f>IF($F29="ODP-Solid-PB-8",1,0)</f>
        <v>0</v>
      </c>
      <c r="BR29" s="38">
        <f>IF($F29="ODP-Solid-PB-16",1,0)</f>
        <v>0</v>
      </c>
      <c r="BS29" s="38">
        <f>IF($F29="ODP-Solid-PB-8 AS",1,0)</f>
        <v>0</v>
      </c>
      <c r="BT29" s="38">
        <f>IF($F29="ODP-Solid-PB-16 AS",1,0)</f>
        <v>0</v>
      </c>
      <c r="BU29" s="38">
        <f>IF($F29="ODP-PL-16",1,0)</f>
        <v>0</v>
      </c>
      <c r="BV29" s="38">
        <f>IF($F29="TC-SM-12",1,0)</f>
        <v>0</v>
      </c>
      <c r="BW29" s="38">
        <f>IF($F29="TC-SM-12",1,0)</f>
        <v>0</v>
      </c>
      <c r="BX29" s="38">
        <f>IF($F29="TC-SM-48",1,0)</f>
        <v>0</v>
      </c>
      <c r="BY29" s="38">
        <f>IF($F29="TC-SM-96",1,0)</f>
        <v>0</v>
      </c>
      <c r="BZ29" s="38">
        <f>IF($F29="TC-SM-96",1,0)</f>
        <v>0</v>
      </c>
      <c r="CA29" s="38">
        <f>IF($F29="TC-SM-96",1,0)</f>
        <v>0</v>
      </c>
      <c r="CB29" s="38">
        <f>IF($F29="TC-SM-96",1,0)</f>
        <v>0</v>
      </c>
      <c r="CC29" s="38">
        <f>IF($F29="TC-SM-96",1,0)</f>
        <v>0</v>
      </c>
      <c r="CD29" s="38">
        <f>IF($F29="TC-SM-96",1,0)</f>
        <v>0</v>
      </c>
      <c r="CE29" s="38">
        <f>IF($F29="TC-SM-144",1,0)</f>
        <v>0</v>
      </c>
      <c r="CF29" s="38">
        <f>IF($F29="PS-1-4-ODC",$E29,0)</f>
        <v>0</v>
      </c>
      <c r="CG29" s="38">
        <f>IF($F29="PS-1-8-ODP",$E29,0)</f>
        <v>0</v>
      </c>
      <c r="CH29" s="38">
        <f>IF($F29="PS-1-16-ODP",1,0)</f>
        <v>0</v>
      </c>
      <c r="CI29" s="38">
        <f>IF($F29="TC-SM-96",1,0)</f>
        <v>0</v>
      </c>
      <c r="CJ29" s="38">
        <f>IF($F29="TC-SM-96",1,0)</f>
        <v>0</v>
      </c>
      <c r="CK29" s="38">
        <f>IF($F29="SITAC",1,0)</f>
        <v>0</v>
      </c>
      <c r="CL29" s="38">
        <f>IF($F29="PU-S7.0-140",1,0)</f>
        <v>0</v>
      </c>
      <c r="CM29" s="38">
        <f>IF($F29="PU-S7.0-400NM ",1,0)</f>
        <v>0</v>
      </c>
      <c r="CN29" s="38">
        <f>IF($F29="PU-S9.0-140",1,0)</f>
        <v>0</v>
      </c>
      <c r="CO29" s="38"/>
      <c r="CP29" s="38"/>
      <c r="CQ29" s="38"/>
      <c r="CR29" s="38">
        <f>IF($F29="PU-AS-SC",1,0)</f>
        <v>0</v>
      </c>
      <c r="CS29" s="38">
        <f>IF($F29="PU-AS-HL",2,0)</f>
        <v>0</v>
      </c>
      <c r="CT29" s="38">
        <f>IF($F29="STAINLESS BELT",2,0)</f>
        <v>0</v>
      </c>
      <c r="CU29" s="38">
        <f>IF($F29="PU-AS",1,0)</f>
        <v>0</v>
      </c>
      <c r="CV29" s="38">
        <f>IF($F29="GB-G1",1,0)</f>
        <v>0</v>
      </c>
      <c r="CW29" s="38">
        <f>IF($F29="GB-G3",1,0)</f>
        <v>0</v>
      </c>
      <c r="CX29" s="38"/>
      <c r="CY29" s="38">
        <f>IF($F29="TC-02-ODC",$E29,0)</f>
        <v>0</v>
      </c>
      <c r="CZ29" s="38">
        <f>IF($F29="tc-02-odc",1,0)</f>
        <v>0</v>
      </c>
      <c r="DA29" s="38">
        <f>IF($F29="tc-02-odc",1,0)</f>
        <v>0</v>
      </c>
      <c r="DB29" s="38">
        <f>IF($F29="tc-02-odc",1,0)</f>
        <v>0</v>
      </c>
      <c r="DC29" s="38">
        <f>IF($F29="tc-02-odc",1,0)</f>
        <v>0</v>
      </c>
      <c r="DD29" s="38">
        <f>IF($F29="tc-02-odc",1,0)</f>
        <v>0</v>
      </c>
      <c r="DE29" s="38">
        <f>IF($F29="tc-02-odc",1,0)</f>
        <v>0</v>
      </c>
      <c r="DF29" s="38">
        <f>IF($F29="tc-02-odc",1,0)</f>
        <v>0</v>
      </c>
      <c r="DG29" s="38">
        <f>IF($F29="tc-02-odc",1,0)</f>
        <v>0</v>
      </c>
      <c r="DH29" s="38">
        <f>IF($F29="tc-02-odc",1,0)</f>
        <v>0</v>
      </c>
      <c r="DI29" s="38">
        <f>IF($F29="tc-02-odc",1,0)</f>
        <v>0</v>
      </c>
      <c r="DJ29" s="38">
        <f>IF($F29="tc-02-odc",1,0)</f>
        <v>0</v>
      </c>
      <c r="DK29" s="38">
        <f>IF($F29="tc-02-odc",1,0)</f>
        <v>0</v>
      </c>
      <c r="DL29" s="38">
        <f>IF($F29="tc-02-odc",1,0)</f>
        <v>0</v>
      </c>
      <c r="DM29" s="38">
        <f>IF($F29="tc-02-odc",1,0)</f>
        <v>0</v>
      </c>
      <c r="DN29" s="38">
        <f>IF($F29="tc-02-odc",1,0)</f>
        <v>0</v>
      </c>
      <c r="DO29" s="38">
        <f>IF($F29="tc-02-odc",1,0)</f>
        <v>0</v>
      </c>
      <c r="DP29" s="38">
        <f>IF($F29="tc-02-odc",1,0)</f>
        <v>0</v>
      </c>
      <c r="DQ29" s="38">
        <f>IF($F29="tc-02-odc",1,0)</f>
        <v>0</v>
      </c>
      <c r="DR29" s="38">
        <f>IF($F29="tc-02-odc",1,0)</f>
        <v>0</v>
      </c>
      <c r="DS29" s="38">
        <f>IF($F29="tc-02-odc",1,0)</f>
        <v>0</v>
      </c>
      <c r="DT29" s="38">
        <f>IF($F29="tc-02-odc",1,0)</f>
        <v>0</v>
      </c>
      <c r="DU29" s="38">
        <f>IF($F29="tc-02-odc",1,0)</f>
        <v>0</v>
      </c>
      <c r="DV29" s="38">
        <f>IF($F29="tc-02-odc",1,0)</f>
        <v>0</v>
      </c>
      <c r="DW29" s="38">
        <f>IF($F29="tc-02-odc",1,0)</f>
        <v>0</v>
      </c>
      <c r="DX29" s="38">
        <f>IF($F29="tc-02-odc",1,0)</f>
        <v>0</v>
      </c>
      <c r="DY29" s="38">
        <f>IF($F29="tc-02-odc",1,0)</f>
        <v>0</v>
      </c>
      <c r="DZ29" s="38">
        <f>IF($F29="tc-02-odc",1,0)</f>
        <v>0</v>
      </c>
      <c r="EA29" s="38">
        <f>IF($F29="tc-02-odc",1,0)</f>
        <v>0</v>
      </c>
      <c r="EB29" s="38">
        <f>IF($F29="tc-02-odc",1,0)</f>
        <v>0</v>
      </c>
      <c r="EC29" s="38">
        <f>IF($F29="tc-02-odc",1,0)</f>
        <v>0</v>
      </c>
      <c r="ED29" s="38">
        <f>IF($F29="tc-02-odc",1,0)</f>
        <v>0</v>
      </c>
      <c r="EE29" s="38">
        <f>IF($F29="DCD-PVC-1",1,0)</f>
        <v>0</v>
      </c>
      <c r="EF29" s="38">
        <f>IF($F29="tc-02-odc",1,0)</f>
        <v>0</v>
      </c>
      <c r="EG29" s="38">
        <f>IF($F29="tc-02-odc",1,0)</f>
        <v>0</v>
      </c>
      <c r="EH29" s="38">
        <f>IF($F29="tc-02-odc",1,0)</f>
        <v>0</v>
      </c>
      <c r="EI29" s="38">
        <f>IF($F29="tc-02-odc",1,0)</f>
        <v>0</v>
      </c>
      <c r="EJ29" s="38">
        <f>IF($F29="tc-02-odc",1,0)</f>
        <v>0</v>
      </c>
      <c r="EK29" s="38">
        <f>IF($F29="tc-02-odc",1,0)</f>
        <v>0</v>
      </c>
      <c r="EL29" s="38">
        <f>IF($F29="tc-02-odc",1,0)</f>
        <v>0</v>
      </c>
      <c r="EM29" s="38">
        <f>IF($F29="tc-02-odc",1,0)</f>
        <v>0</v>
      </c>
      <c r="EN29" s="38">
        <f>IF($F29="DD-HDPE-40-1",$E29,0)</f>
        <v>0</v>
      </c>
      <c r="EO29" s="38">
        <f>IF($F29="DD-HDPE-40-1",$E29,0)</f>
        <v>0</v>
      </c>
      <c r="EP29" s="38">
        <f>IF($F29="DD-HDPE-50-1",$E29,0)</f>
        <v>0</v>
      </c>
      <c r="EQ29" s="38"/>
      <c r="ER29" s="38"/>
      <c r="ES29" s="38"/>
      <c r="ET29" s="38"/>
      <c r="EU29" s="38"/>
      <c r="EV29" s="38"/>
      <c r="EW29" s="38"/>
      <c r="EX29" s="38"/>
      <c r="EY29" s="38"/>
      <c r="EZ29" s="38"/>
      <c r="FA29" s="38"/>
      <c r="FB29" s="38"/>
      <c r="FC29" s="38"/>
      <c r="FD29" s="38"/>
      <c r="FE29" s="38"/>
      <c r="FF29" s="94"/>
      <c r="FG29" s="94"/>
      <c r="FH29" s="94"/>
      <c r="FI29" s="94"/>
      <c r="FJ29" s="94"/>
      <c r="FK29" s="94"/>
      <c r="FL29" s="94"/>
      <c r="FM29" s="94"/>
      <c r="FN29" s="94"/>
      <c r="FO29" s="94"/>
      <c r="FP29" s="94"/>
      <c r="FQ29" s="94"/>
      <c r="FR29" s="94"/>
      <c r="FS29" s="94"/>
      <c r="FT29" s="94"/>
      <c r="FU29" s="94"/>
      <c r="FV29" s="94"/>
      <c r="FW29" s="94"/>
      <c r="FX29" s="94"/>
      <c r="FY29" s="94"/>
      <c r="FZ29" s="94"/>
      <c r="GA29" s="94"/>
      <c r="GB29" s="94"/>
      <c r="GC29" s="94"/>
      <c r="GD29" s="94"/>
      <c r="GE29" s="94"/>
      <c r="GF29" s="94"/>
      <c r="GG29" s="94"/>
      <c r="GH29" s="94"/>
      <c r="GI29" s="94"/>
      <c r="GJ29" s="94"/>
      <c r="GK29" s="94"/>
      <c r="GL29" s="94"/>
      <c r="GM29" s="94"/>
      <c r="GN29" s="94"/>
      <c r="GO29" s="94"/>
      <c r="GP29" s="94"/>
      <c r="GQ29" s="94"/>
      <c r="GR29" s="94"/>
      <c r="GS29" s="94"/>
      <c r="GT29" s="94"/>
      <c r="GU29" s="94"/>
      <c r="GV29" s="94"/>
      <c r="GW29" s="94"/>
      <c r="GX29" s="94"/>
      <c r="GY29" s="94"/>
      <c r="GZ29" s="94"/>
      <c r="HA29" s="76"/>
      <c r="HB29" s="77"/>
      <c r="HC29" s="74"/>
    </row>
    <row r="30" spans="1:212" customHeight="1" ht="17.25" s="4" customFormat="1">
      <c r="A30" s="63"/>
      <c r="B30" s="31"/>
      <c r="C30" s="88"/>
      <c r="D30" s="88"/>
      <c r="E30" s="92"/>
      <c r="F30" s="96"/>
      <c r="G30" s="37">
        <f>IF($F30="SLACK-12CORE",$E30,0)</f>
        <v>0</v>
      </c>
      <c r="H30" s="37">
        <f>IF($F30="Slack Support HH",1,0)</f>
        <v>0</v>
      </c>
      <c r="I30" s="38">
        <f>IF($F30="SLACK-24CORE",$E30,0)</f>
        <v>0</v>
      </c>
      <c r="J30" s="38">
        <f>IF($F30="SLACK-48CORE",$E30,0)</f>
        <v>0</v>
      </c>
      <c r="K30" s="38">
        <f>IF($F30="SLACK-96CORE",$E30,0)</f>
        <v>0</v>
      </c>
      <c r="L30" s="38">
        <f>IF($F30="Slack Support HH",$E30,0)</f>
        <v>0</v>
      </c>
      <c r="M30" s="38">
        <f>IF($F30="HH-PIT-80",1,0)</f>
        <v>0</v>
      </c>
      <c r="N30" s="38">
        <f>IF($F30="AC-OF-SM-12D",$E30,0)</f>
        <v>0</v>
      </c>
      <c r="O30" s="38">
        <f>IF($F30="AC-OF-SM-24D",$E30,0)</f>
        <v>0</v>
      </c>
      <c r="P30" s="38">
        <f>IF($F30="AC-OF-SM-48D",$E30,0)</f>
        <v>0</v>
      </c>
      <c r="Q30" s="38">
        <f>IF($F30="AC-OF-SM-96D",$E30,0)</f>
        <v>0</v>
      </c>
      <c r="R30" s="38">
        <f>IF($F30="AC-OF-SM-ADSS-12D",$E30,0)</f>
        <v>0</v>
      </c>
      <c r="S30" s="38">
        <f>IF($F30="AC-OF-SM-12-SC",$E30,0)</f>
        <v>0</v>
      </c>
      <c r="T30" s="38">
        <f>IF($F30="AC-OF-SM-24-SC",$E30,0)</f>
        <v>0</v>
      </c>
      <c r="U30" s="38">
        <f>IF($F30="AC-OF-SM-48-SC",$E30,0)</f>
        <v>0</v>
      </c>
      <c r="V30" s="38">
        <f>IF($F30="AC-OF-SM-96-SC",$E30,0)</f>
        <v>0</v>
      </c>
      <c r="W30" s="38">
        <f>IF($F30="DC-OF-SM-144D",$E30,0)</f>
        <v>0</v>
      </c>
      <c r="X30" s="38">
        <f>IF($F30="DC-OF-SM-288D",$E30,0)</f>
        <v>0</v>
      </c>
      <c r="Y30" s="38">
        <f>IF($F30="AC-OF-SM-12-SC",$E30,0)</f>
        <v>0</v>
      </c>
      <c r="Z30" s="38">
        <f>IF($F30="SC-OF-SM-12",1,0)</f>
        <v>0</v>
      </c>
      <c r="AA30" s="38">
        <f>IF($F30="SC-OF-SM-12",1,0)</f>
        <v>0</v>
      </c>
      <c r="AB30" s="38">
        <f>IF($F30="SC-OF-SM-12",1,0)</f>
        <v>0</v>
      </c>
      <c r="AC30" s="38">
        <f>IF($F30="SC-OF-SM-12",1,0)</f>
        <v>0</v>
      </c>
      <c r="AD30" s="38">
        <f>IF($F30="SC-OF-SM-12",1,0)</f>
        <v>0</v>
      </c>
      <c r="AE30" s="38">
        <f>IF($F30="SC-OF-SM-24",1,0)</f>
        <v>0</v>
      </c>
      <c r="AF30" s="38">
        <f>IF($F30="OS-SM-1",$E30,0)</f>
        <v>0</v>
      </c>
      <c r="AG30" s="38">
        <f>IF($F30="OS-SM-1",$E30,0)</f>
        <v>0</v>
      </c>
      <c r="AH30" s="38">
        <f>IF($F30="OS-SM-1",$E30,0)</f>
        <v>0</v>
      </c>
      <c r="AI30" s="38">
        <f>IF($F30="OS-SM-1",$E30,0)</f>
        <v>0</v>
      </c>
      <c r="AJ30" s="38">
        <f>IF($F30="OS-SM-1",$E30,0)</f>
        <v>0</v>
      </c>
      <c r="AK30" s="38">
        <v>56</v>
      </c>
      <c r="AL30" s="38">
        <f>IF($F30="OS-SM-1",$E30,0)</f>
        <v>0</v>
      </c>
      <c r="AM30" s="38">
        <f>IF($F30="OS-SM-1",$E30,0)</f>
        <v>0</v>
      </c>
      <c r="AN30" s="38">
        <f>IF($F30="OS-SM-1",$E30,0)</f>
        <v>0</v>
      </c>
      <c r="AO30" s="38">
        <f>IF($F30="OS-SM-1",$E30,0)</f>
        <v>0</v>
      </c>
      <c r="AP30" s="38">
        <v>56</v>
      </c>
      <c r="AQ30" s="38">
        <f>IF($F30="OS-SM-1",$E30,0)</f>
        <v>0</v>
      </c>
      <c r="AR30" s="38">
        <f>IF($F30="OS-SM-1",$E30,0)</f>
        <v>0</v>
      </c>
      <c r="AS30" s="38">
        <f>IF($F30="OS-SM-1",$E30,0)</f>
        <v>0</v>
      </c>
      <c r="AT30" s="38">
        <v>56</v>
      </c>
      <c r="AU30" s="38">
        <f>IF($F30="OS-SM-1",$E30,0)</f>
        <v>0</v>
      </c>
      <c r="AV30" s="38">
        <v>56</v>
      </c>
      <c r="AW30" s="38">
        <f>IF($F30="OS-SM-1",$E30,0)</f>
        <v>0</v>
      </c>
      <c r="AX30" s="38">
        <f>IF($F30="OS-SM-1",$E30,0)</f>
        <v>0</v>
      </c>
      <c r="AY30" s="38">
        <v>56</v>
      </c>
      <c r="AZ30" s="38">
        <f>IF($F30="OS-SM-1",$E30,0)</f>
        <v>0</v>
      </c>
      <c r="BA30" s="38">
        <f>IF($F30="OS-SM-1",$E30,0)</f>
        <v>0</v>
      </c>
      <c r="BB30" s="38">
        <f>IF($F30="OS-SM-1",$E30,0)</f>
        <v>0</v>
      </c>
      <c r="BC30" s="38">
        <f>IF($F30="OS-SM-1",$E30,0)</f>
        <v>0</v>
      </c>
      <c r="BD30" s="38">
        <f>IF($F30="OS-SM-1",$E30,0)</f>
        <v>0</v>
      </c>
      <c r="BE30" s="38">
        <f>IF($F30="OS-SM-1",$E30,0)</f>
        <v>0</v>
      </c>
      <c r="BF30" s="38">
        <f>IF($F30="OS-SM-1",$E30,0)</f>
        <v>0</v>
      </c>
      <c r="BG30" s="38">
        <f>IF($F30="PC-UPC-652-2",$E30,0)</f>
        <v>0</v>
      </c>
      <c r="BH30" s="38">
        <f>IF($F30="PC-APC/UPC-652-A1",$E30,0)</f>
        <v>0</v>
      </c>
      <c r="BI30" s="38">
        <f>IF($F30="OS-SM-1",$E30,0)</f>
        <v>0</v>
      </c>
      <c r="BJ30" s="38">
        <f>IF($F30="ODC-C-144",$E30,0)</f>
        <v>0</v>
      </c>
      <c r="BK30" s="38">
        <f>IF($F30="ODC-C-288",1,0)</f>
        <v>0</v>
      </c>
      <c r="BL30" s="38">
        <f>IF($F30="ODC-PROT-144",1,0)</f>
        <v>0</v>
      </c>
      <c r="BM30" s="38">
        <f>IF($F30="ODC-PROT-288",1,0)</f>
        <v>0</v>
      </c>
      <c r="BN30" s="38">
        <f>IF($F30="ODP-CA-8",1,0)</f>
        <v>0</v>
      </c>
      <c r="BO30" s="38">
        <f>IF($F30="ODP-CA-16",1,0)</f>
        <v>0</v>
      </c>
      <c r="BP30" s="38">
        <f>IF($F30="ODP-A-8",1,0)</f>
        <v>0</v>
      </c>
      <c r="BQ30" s="38">
        <f>IF($F30="ODP-Solid-PB-8",1,0)</f>
        <v>0</v>
      </c>
      <c r="BR30" s="38">
        <f>IF($F30="ODP-Solid-PB-16",1,0)</f>
        <v>0</v>
      </c>
      <c r="BS30" s="38">
        <f>IF($F30="ODP-Solid-PB-8 AS",1,0)</f>
        <v>0</v>
      </c>
      <c r="BT30" s="38">
        <f>IF($F30="ODP-Solid-PB-16 AS",1,0)</f>
        <v>0</v>
      </c>
      <c r="BU30" s="38">
        <f>IF($F30="ODP-PL-16",1,0)</f>
        <v>0</v>
      </c>
      <c r="BV30" s="38">
        <f>IF($F30="TC-SM-12",1,0)</f>
        <v>0</v>
      </c>
      <c r="BW30" s="38">
        <f>IF($F30="TC-SM-12",1,0)</f>
        <v>0</v>
      </c>
      <c r="BX30" s="38">
        <f>IF($F30="TC-SM-48",1,0)</f>
        <v>0</v>
      </c>
      <c r="BY30" s="38">
        <f>IF($F30="TC-SM-96",1,0)</f>
        <v>0</v>
      </c>
      <c r="BZ30" s="38">
        <f>IF($F30="TC-SM-96",1,0)</f>
        <v>0</v>
      </c>
      <c r="CA30" s="38">
        <f>IF($F30="TC-SM-96",1,0)</f>
        <v>0</v>
      </c>
      <c r="CB30" s="38">
        <f>IF($F30="TC-SM-96",1,0)</f>
        <v>0</v>
      </c>
      <c r="CC30" s="38">
        <f>IF($F30="TC-SM-96",1,0)</f>
        <v>0</v>
      </c>
      <c r="CD30" s="38">
        <f>IF($F30="TC-SM-96",1,0)</f>
        <v>0</v>
      </c>
      <c r="CE30" s="38">
        <f>IF($F30="TC-SM-144",1,0)</f>
        <v>0</v>
      </c>
      <c r="CF30" s="38">
        <f>IF($F30="PS-1-4-ODC",$E30,0)</f>
        <v>0</v>
      </c>
      <c r="CG30" s="38">
        <f>IF($F30="PS-1-8-ODP",$E30,0)</f>
        <v>0</v>
      </c>
      <c r="CH30" s="38">
        <f>IF($F30="PS-1-16-ODP",1,0)</f>
        <v>0</v>
      </c>
      <c r="CI30" s="38">
        <f>IF($F30="TC-SM-96",1,0)</f>
        <v>0</v>
      </c>
      <c r="CJ30" s="38">
        <f>IF($F30="TC-SM-96",1,0)</f>
        <v>0</v>
      </c>
      <c r="CK30" s="38">
        <f>IF($F30="SITAC",1,0)</f>
        <v>0</v>
      </c>
      <c r="CL30" s="38">
        <f>IF($F30="PU-S7.0-140",1,0)</f>
        <v>0</v>
      </c>
      <c r="CM30" s="38">
        <f>IF($F30="PU-S7.0-400NM ",1,0)</f>
        <v>0</v>
      </c>
      <c r="CN30" s="38">
        <f>IF($F30="PU-S9.0-140",1,0)</f>
        <v>0</v>
      </c>
      <c r="CO30" s="38"/>
      <c r="CP30" s="38"/>
      <c r="CQ30" s="38"/>
      <c r="CR30" s="38">
        <f>IF($F30="PU-AS-SC",1,0)</f>
        <v>0</v>
      </c>
      <c r="CS30" s="38">
        <f>IF($F30="PU-AS-HL",2,0)</f>
        <v>0</v>
      </c>
      <c r="CT30" s="38">
        <f>IF($F30="STAINLESS BELT",1,0)</f>
        <v>0</v>
      </c>
      <c r="CU30" s="38">
        <f>IF($F30="PU-AS",1,0)</f>
        <v>0</v>
      </c>
      <c r="CV30" s="38">
        <f>IF($F30="GB-G1",1,0)</f>
        <v>0</v>
      </c>
      <c r="CW30" s="38">
        <f>IF($F30="GB-G3",1,0)</f>
        <v>0</v>
      </c>
      <c r="CX30" s="38"/>
      <c r="CY30" s="38">
        <f>IF($F30="TC-02-ODC",$E30,0)</f>
        <v>0</v>
      </c>
      <c r="CZ30" s="38">
        <f>IF($F30="tc-02-odc",1,0)</f>
        <v>0</v>
      </c>
      <c r="DA30" s="38">
        <f>IF($F30="tc-02-odc",1,0)</f>
        <v>0</v>
      </c>
      <c r="DB30" s="38">
        <f>IF($F30="tc-02-odc",1,0)</f>
        <v>0</v>
      </c>
      <c r="DC30" s="38">
        <f>IF($F30="tc-02-odc",1,0)</f>
        <v>0</v>
      </c>
      <c r="DD30" s="38">
        <f>IF($F30="tc-02-odc",1,0)</f>
        <v>0</v>
      </c>
      <c r="DE30" s="38">
        <f>IF($F30="tc-02-odc",1,0)</f>
        <v>0</v>
      </c>
      <c r="DF30" s="38">
        <f>IF($F30="tc-02-odc",1,0)</f>
        <v>0</v>
      </c>
      <c r="DG30" s="38">
        <f>IF($F30="tc-02-odc",1,0)</f>
        <v>0</v>
      </c>
      <c r="DH30" s="38">
        <f>IF($F30="tc-02-odc",1,0)</f>
        <v>0</v>
      </c>
      <c r="DI30" s="38">
        <f>IF($F30="tc-02-odc",1,0)</f>
        <v>0</v>
      </c>
      <c r="DJ30" s="38">
        <f>IF($F30="tc-02-odc",1,0)</f>
        <v>0</v>
      </c>
      <c r="DK30" s="38">
        <f>IF($F30="tc-02-odc",1,0)</f>
        <v>0</v>
      </c>
      <c r="DL30" s="38">
        <f>IF($F30="tc-02-odc",1,0)</f>
        <v>0</v>
      </c>
      <c r="DM30" s="38">
        <f>IF($F30="tc-02-odc",1,0)</f>
        <v>0</v>
      </c>
      <c r="DN30" s="38">
        <f>IF($F30="tc-02-odc",1,0)</f>
        <v>0</v>
      </c>
      <c r="DO30" s="38">
        <f>IF($F30="tc-02-odc",1,0)</f>
        <v>0</v>
      </c>
      <c r="DP30" s="38">
        <f>IF($F30="tc-02-odc",1,0)</f>
        <v>0</v>
      </c>
      <c r="DQ30" s="38">
        <f>IF($F30="tc-02-odc",1,0)</f>
        <v>0</v>
      </c>
      <c r="DR30" s="38">
        <f>IF($F30="tc-02-odc",1,0)</f>
        <v>0</v>
      </c>
      <c r="DS30" s="38">
        <f>IF($F30="tc-02-odc",1,0)</f>
        <v>0</v>
      </c>
      <c r="DT30" s="38">
        <f>IF($F30="tc-02-odc",1,0)</f>
        <v>0</v>
      </c>
      <c r="DU30" s="38">
        <f>IF($F30="tc-02-odc",1,0)</f>
        <v>0</v>
      </c>
      <c r="DV30" s="38">
        <f>IF($F30="tc-02-odc",1,0)</f>
        <v>0</v>
      </c>
      <c r="DW30" s="38">
        <f>IF($F30="tc-02-odc",1,0)</f>
        <v>0</v>
      </c>
      <c r="DX30" s="38">
        <f>IF($F30="tc-02-odc",1,0)</f>
        <v>0</v>
      </c>
      <c r="DY30" s="38">
        <f>IF($F30="tc-02-odc",1,0)</f>
        <v>0</v>
      </c>
      <c r="DZ30" s="38">
        <f>IF($F30="tc-02-odc",1,0)</f>
        <v>0</v>
      </c>
      <c r="EA30" s="38">
        <f>IF($F30="tc-02-odc",1,0)</f>
        <v>0</v>
      </c>
      <c r="EB30" s="38">
        <f>IF($F30="tc-02-odc",1,0)</f>
        <v>0</v>
      </c>
      <c r="EC30" s="38">
        <f>IF($F30="tc-02-odc",1,0)</f>
        <v>0</v>
      </c>
      <c r="ED30" s="38">
        <f>IF($F30="tc-02-odc",1,0)</f>
        <v>0</v>
      </c>
      <c r="EE30" s="38">
        <f>IF($F30="DCD-PVC-1",1,0)</f>
        <v>0</v>
      </c>
      <c r="EF30" s="38">
        <f>IF($F30="tc-02-odc",1,0)</f>
        <v>0</v>
      </c>
      <c r="EG30" s="38">
        <f>IF($F30="tc-02-odc",1,0)</f>
        <v>0</v>
      </c>
      <c r="EH30" s="38">
        <f>IF($F30="tc-02-odc",1,0)</f>
        <v>0</v>
      </c>
      <c r="EI30" s="38">
        <f>IF($F30="tc-02-odc",1,0)</f>
        <v>0</v>
      </c>
      <c r="EJ30" s="38">
        <f>IF($F30="tc-02-odc",1,0)</f>
        <v>0</v>
      </c>
      <c r="EK30" s="38">
        <f>IF($F30="tc-02-odc",1,0)</f>
        <v>0</v>
      </c>
      <c r="EL30" s="38">
        <f>IF($F30="tc-02-odc",1,0)</f>
        <v>0</v>
      </c>
      <c r="EM30" s="38">
        <f>IF($F30="tc-02-odc",1,0)</f>
        <v>0</v>
      </c>
      <c r="EN30" s="38">
        <f>IF($F30="DD-HDPE-40-1",$E30,0)</f>
        <v>0</v>
      </c>
      <c r="EO30" s="38">
        <f>IF($F30="DD-HDPE-40-1",$E30,0)</f>
        <v>0</v>
      </c>
      <c r="EP30" s="38">
        <f>IF($F30="DD-HDPE-50-1",$E30,0)</f>
        <v>0</v>
      </c>
      <c r="EQ30" s="38"/>
      <c r="ER30" s="38"/>
      <c r="ES30" s="38"/>
      <c r="ET30" s="38"/>
      <c r="EU30" s="38"/>
      <c r="EV30" s="38"/>
      <c r="EW30" s="38"/>
      <c r="EX30" s="38"/>
      <c r="EY30" s="38"/>
      <c r="EZ30" s="38"/>
      <c r="FA30" s="38"/>
      <c r="FB30" s="38"/>
      <c r="FC30" s="38"/>
      <c r="FD30" s="38"/>
      <c r="FE30" s="38"/>
      <c r="FF30" s="94"/>
      <c r="FG30" s="94"/>
      <c r="FH30" s="94"/>
      <c r="FI30" s="94"/>
      <c r="FJ30" s="94"/>
      <c r="FK30" s="94"/>
      <c r="FL30" s="94"/>
      <c r="FM30" s="94"/>
      <c r="FN30" s="94"/>
      <c r="FO30" s="94"/>
      <c r="FP30" s="94"/>
      <c r="FQ30" s="94"/>
      <c r="FR30" s="94"/>
      <c r="FS30" s="94"/>
      <c r="FT30" s="94"/>
      <c r="FU30" s="94"/>
      <c r="FV30" s="94"/>
      <c r="FW30" s="94"/>
      <c r="FX30" s="94"/>
      <c r="FY30" s="94"/>
      <c r="FZ30" s="94"/>
      <c r="GA30" s="94"/>
      <c r="GB30" s="94"/>
      <c r="GC30" s="94"/>
      <c r="GD30" s="94"/>
      <c r="GE30" s="94"/>
      <c r="GF30" s="94"/>
      <c r="GG30" s="94"/>
      <c r="GH30" s="94"/>
      <c r="GI30" s="94"/>
      <c r="GJ30" s="94"/>
      <c r="GK30" s="94"/>
      <c r="GL30" s="94"/>
      <c r="GM30" s="94"/>
      <c r="GN30" s="94"/>
      <c r="GO30" s="94"/>
      <c r="GP30" s="94"/>
      <c r="GQ30" s="94"/>
      <c r="GR30" s="94"/>
      <c r="GS30" s="94"/>
      <c r="GT30" s="94"/>
      <c r="GU30" s="94"/>
      <c r="GV30" s="94"/>
      <c r="GW30" s="94"/>
      <c r="GX30" s="94"/>
      <c r="GY30" s="94"/>
      <c r="GZ30" s="94"/>
      <c r="HA30" s="76"/>
      <c r="HB30" s="77"/>
      <c r="HC30" s="74"/>
    </row>
    <row r="31" spans="1:212" customHeight="1" ht="17.25" s="4" customFormat="1">
      <c r="A31" s="63"/>
      <c r="B31" s="31"/>
      <c r="C31" s="88"/>
      <c r="D31" s="88"/>
      <c r="E31" s="92"/>
      <c r="F31" s="93"/>
      <c r="G31" s="37">
        <f>IF($F31="SLACK-12CORE",$E31,0)</f>
        <v>0</v>
      </c>
      <c r="H31" s="37">
        <f>IF($F31="Slack Support HH",1,0)</f>
        <v>0</v>
      </c>
      <c r="I31" s="38">
        <f>IF($F31="SLACK-24CORE",$E31,0)</f>
        <v>0</v>
      </c>
      <c r="J31" s="38">
        <f>IF($F31="SLACK-48CORE",$E31,0)</f>
        <v>0</v>
      </c>
      <c r="K31" s="38">
        <f>IF($F31="SLACK-96CORE",$E31,0)</f>
        <v>0</v>
      </c>
      <c r="L31" s="38">
        <f>IF($F31="Slack Support HH",$E31,0)</f>
        <v>0</v>
      </c>
      <c r="M31" s="38">
        <f>IF($F31="HH-PIT-80",1,0)</f>
        <v>0</v>
      </c>
      <c r="N31" s="38">
        <f>IF($F31="AC-OF-SM-12D",$E31,0)</f>
        <v>0</v>
      </c>
      <c r="O31" s="38">
        <f>IF($F31="AC-OF-SM-24D",$E31,0)</f>
        <v>0</v>
      </c>
      <c r="P31" s="38">
        <f>IF($F31="AC-OF-SM-48D",$E31,0)</f>
        <v>0</v>
      </c>
      <c r="Q31" s="38">
        <f>IF($F31="AC-OF-SM-96D",$E31,0)</f>
        <v>0</v>
      </c>
      <c r="R31" s="38">
        <f>IF($F31="AC-OF-SM-ADSS-12D",$E31,0)</f>
        <v>0</v>
      </c>
      <c r="S31" s="38">
        <f>IF($F31="AC-OF-SM-12-SC",$E31,0)</f>
        <v>0</v>
      </c>
      <c r="T31" s="38">
        <f>IF($F31="AC-OF-SM-24-SC",$E31,0)</f>
        <v>0</v>
      </c>
      <c r="U31" s="38">
        <f>IF($F31="AC-OF-SM-48-SC",$E31,0)</f>
        <v>0</v>
      </c>
      <c r="V31" s="38">
        <f>IF($F31="AC-OF-SM-96-SC",$E31,0)</f>
        <v>0</v>
      </c>
      <c r="W31" s="38">
        <f>IF($F31="DC-OF-SM-144D",$E31,0)</f>
        <v>0</v>
      </c>
      <c r="X31" s="38">
        <f>IF($F31="DC-OF-SM-288D",$E31,0)</f>
        <v>0</v>
      </c>
      <c r="Y31" s="38">
        <f>IF($F31="AC-OF-SM-12-SC",$E31,0)</f>
        <v>0</v>
      </c>
      <c r="Z31" s="38">
        <f>IF($F31="SC-OF-SM-12",1,0)</f>
        <v>0</v>
      </c>
      <c r="AA31" s="38">
        <f>IF($F31="SC-OF-SM-12",1,0)</f>
        <v>0</v>
      </c>
      <c r="AB31" s="38">
        <f>IF($F31="SC-OF-SM-12",1,0)</f>
        <v>0</v>
      </c>
      <c r="AC31" s="38">
        <f>IF($F31="SC-OF-SM-12",1,0)</f>
        <v>0</v>
      </c>
      <c r="AD31" s="38">
        <f>IF($F31="SC-OF-SM-12",1,0)</f>
        <v>0</v>
      </c>
      <c r="AE31" s="38">
        <f>IF($F31="SC-OF-SM-24",1,0)</f>
        <v>0</v>
      </c>
      <c r="AF31" s="38">
        <f>IF($F31="OS-SM-1",$E31,0)</f>
        <v>0</v>
      </c>
      <c r="AG31" s="38">
        <f>IF($F31="OS-SM-1",$E31,0)</f>
        <v>0</v>
      </c>
      <c r="AH31" s="38">
        <f>IF($F31="OS-SM-1",$E31,0)</f>
        <v>0</v>
      </c>
      <c r="AI31" s="38">
        <f>IF($F31="OS-SM-1",$E31,0)</f>
        <v>0</v>
      </c>
      <c r="AJ31" s="38">
        <f>IF($F31="OS-SM-1",$E31,0)</f>
        <v>0</v>
      </c>
      <c r="AK31" s="38">
        <v>57</v>
      </c>
      <c r="AL31" s="38">
        <f>IF($F31="OS-SM-1",$E31,0)</f>
        <v>0</v>
      </c>
      <c r="AM31" s="38">
        <f>IF($F31="OS-SM-1",$E31,0)</f>
        <v>0</v>
      </c>
      <c r="AN31" s="38">
        <f>IF($F31="OS-SM-1",$E31,0)</f>
        <v>0</v>
      </c>
      <c r="AO31" s="38">
        <f>IF($F31="OS-SM-1",$E31,0)</f>
        <v>0</v>
      </c>
      <c r="AP31" s="38">
        <v>57</v>
      </c>
      <c r="AQ31" s="38">
        <f>IF($F31="OS-SM-1",$E31,0)</f>
        <v>0</v>
      </c>
      <c r="AR31" s="38">
        <f>IF($F31="OS-SM-1",$E31,0)</f>
        <v>0</v>
      </c>
      <c r="AS31" s="38">
        <f>IF($F31="OS-SM-1",$E31,0)</f>
        <v>0</v>
      </c>
      <c r="AT31" s="38">
        <v>57</v>
      </c>
      <c r="AU31" s="38">
        <f>IF($F31="OS-SM-1",$E31,0)</f>
        <v>0</v>
      </c>
      <c r="AV31" s="38">
        <v>57</v>
      </c>
      <c r="AW31" s="38">
        <f>IF($F31="OS-SM-1",$E31,0)</f>
        <v>0</v>
      </c>
      <c r="AX31" s="38">
        <f>IF($F31="OS-SM-1",$E31,0)</f>
        <v>0</v>
      </c>
      <c r="AY31" s="38">
        <v>57</v>
      </c>
      <c r="AZ31" s="38">
        <f>IF($F31="OS-SM-1",$E31,0)</f>
        <v>0</v>
      </c>
      <c r="BA31" s="38">
        <f>IF($F31="OS-SM-1",$E31,0)</f>
        <v>0</v>
      </c>
      <c r="BB31" s="38">
        <f>IF($F31="OS-SM-1",$E31,0)</f>
        <v>0</v>
      </c>
      <c r="BC31" s="38">
        <f>IF($F31="OS-SM-1",$E31,0)</f>
        <v>0</v>
      </c>
      <c r="BD31" s="38">
        <f>IF($F31="OS-SM-1",$E31,0)</f>
        <v>0</v>
      </c>
      <c r="BE31" s="38">
        <f>IF($F31="OS-SM-1",$E31,0)</f>
        <v>0</v>
      </c>
      <c r="BF31" s="38">
        <f>IF($F31="OS-SM-1",$E31,0)</f>
        <v>0</v>
      </c>
      <c r="BG31" s="38">
        <f>IF($F31="PC-UPC-652-2",$E31,0)</f>
        <v>0</v>
      </c>
      <c r="BH31" s="38">
        <f>IF($F31="PC-APC/UPC-652-A1",$E31,0)</f>
        <v>0</v>
      </c>
      <c r="BI31" s="38">
        <f>IF($F31="OS-SM-1",$E31,0)</f>
        <v>0</v>
      </c>
      <c r="BJ31" s="38">
        <f>IF($F31="ODC-C-144",$E31,0)</f>
        <v>0</v>
      </c>
      <c r="BK31" s="38">
        <f>IF($F31="ODC-C-288",1,0)</f>
        <v>0</v>
      </c>
      <c r="BL31" s="38">
        <f>IF($F31="ODC-PROT-144",1,0)</f>
        <v>0</v>
      </c>
      <c r="BM31" s="38">
        <f>IF($F31="ODC-PROT-288",1,0)</f>
        <v>0</v>
      </c>
      <c r="BN31" s="38">
        <f>IF($F31="ODP-CA-8",1,0)</f>
        <v>0</v>
      </c>
      <c r="BO31" s="38">
        <f>IF($F31="ODP-CA-16",1,0)</f>
        <v>0</v>
      </c>
      <c r="BP31" s="38">
        <f>IF($F31="ODP-A-8",1,0)</f>
        <v>0</v>
      </c>
      <c r="BQ31" s="38">
        <f>IF($F31="ODP-Solid-PB-8",1,0)</f>
        <v>0</v>
      </c>
      <c r="BR31" s="38">
        <f>IF($F31="ODP-Solid-PB-16",1,0)</f>
        <v>0</v>
      </c>
      <c r="BS31" s="38">
        <f>IF($F31="ODP-Solid-PB-8 AS",1,0)</f>
        <v>0</v>
      </c>
      <c r="BT31" s="38">
        <f>IF($F31="ODP-Solid-PB-16 AS",1,0)</f>
        <v>0</v>
      </c>
      <c r="BU31" s="38">
        <f>IF($F31="ODP-PL-16",1,0)</f>
        <v>0</v>
      </c>
      <c r="BV31" s="38">
        <f>IF($F31="TC-SM-12",1,0)</f>
        <v>0</v>
      </c>
      <c r="BW31" s="38">
        <f>IF($F31="TC-SM-12",1,0)</f>
        <v>0</v>
      </c>
      <c r="BX31" s="38">
        <f>IF($F31="TC-SM-48",1,0)</f>
        <v>0</v>
      </c>
      <c r="BY31" s="38">
        <f>IF($F31="TC-SM-96",1,0)</f>
        <v>0</v>
      </c>
      <c r="BZ31" s="38">
        <f>IF($F31="TC-SM-96",1,0)</f>
        <v>0</v>
      </c>
      <c r="CA31" s="38">
        <f>IF($F31="TC-SM-96",1,0)</f>
        <v>0</v>
      </c>
      <c r="CB31" s="38">
        <f>IF($F31="TC-SM-96",1,0)</f>
        <v>0</v>
      </c>
      <c r="CC31" s="38">
        <f>IF($F31="TC-SM-96",1,0)</f>
        <v>0</v>
      </c>
      <c r="CD31" s="38">
        <f>IF($F31="TC-SM-96",1,0)</f>
        <v>0</v>
      </c>
      <c r="CE31" s="38">
        <f>IF($F31="TC-SM-144",1,0)</f>
        <v>0</v>
      </c>
      <c r="CF31" s="38">
        <f>IF($F31="PS-1-4-ODC",$E31,0)</f>
        <v>0</v>
      </c>
      <c r="CG31" s="38">
        <f>IF($F31="PS-1-8-ODP",$E31,0)</f>
        <v>0</v>
      </c>
      <c r="CH31" s="38">
        <f>IF($F31="PS-1-16-ODP",1,0)</f>
        <v>0</v>
      </c>
      <c r="CI31" s="38">
        <f>IF($F31="TC-SM-96",1,0)</f>
        <v>0</v>
      </c>
      <c r="CJ31" s="38">
        <f>IF($F31="TC-SM-96",1,0)</f>
        <v>0</v>
      </c>
      <c r="CK31" s="38">
        <f>IF($F31="SITAC",1,0)</f>
        <v>0</v>
      </c>
      <c r="CL31" s="38">
        <f>IF($F31="PU-S7.0-140",1,0)</f>
        <v>0</v>
      </c>
      <c r="CM31" s="38">
        <f>IF($F31="PU-S7.0-400NM ",1,0)</f>
        <v>0</v>
      </c>
      <c r="CN31" s="38">
        <f>IF($F31="PU-S9.0-140",1,0)</f>
        <v>0</v>
      </c>
      <c r="CO31" s="38"/>
      <c r="CP31" s="38"/>
      <c r="CQ31" s="38"/>
      <c r="CR31" s="38">
        <f>IF($F31="PU-AS-SC",1,0)</f>
        <v>0</v>
      </c>
      <c r="CS31" s="38">
        <f>IF($F31="PU-AS-HL",2,0)</f>
        <v>0</v>
      </c>
      <c r="CT31" s="38">
        <f>IF($F31="STAINLESS BELT",1,0)</f>
        <v>0</v>
      </c>
      <c r="CU31" s="38">
        <f>IF($F31="PU-AS",1,0)</f>
        <v>0</v>
      </c>
      <c r="CV31" s="38">
        <f>IF($F31="GB-G1",1,0)</f>
        <v>0</v>
      </c>
      <c r="CW31" s="38">
        <f>IF($F31="GB-G3",1,0)</f>
        <v>0</v>
      </c>
      <c r="CX31" s="38"/>
      <c r="CY31" s="38">
        <f>IF($F31="TC-02-ODC",$E31,0)</f>
        <v>0</v>
      </c>
      <c r="CZ31" s="38">
        <f>IF($F31="tc-02-odc",1,0)</f>
        <v>0</v>
      </c>
      <c r="DA31" s="38">
        <f>IF($F31="tc-02-odc",1,0)</f>
        <v>0</v>
      </c>
      <c r="DB31" s="38">
        <f>IF($F31="tc-02-odc",1,0)</f>
        <v>0</v>
      </c>
      <c r="DC31" s="38">
        <f>IF($F31="tc-02-odc",1,0)</f>
        <v>0</v>
      </c>
      <c r="DD31" s="38">
        <f>IF($F31="tc-02-odc",1,0)</f>
        <v>0</v>
      </c>
      <c r="DE31" s="38">
        <f>IF($F31="tc-02-odc",1,0)</f>
        <v>0</v>
      </c>
      <c r="DF31" s="38">
        <f>IF($F31="tc-02-odc",1,0)</f>
        <v>0</v>
      </c>
      <c r="DG31" s="38">
        <f>IF($F31="tc-02-odc",1,0)</f>
        <v>0</v>
      </c>
      <c r="DH31" s="38">
        <f>IF($F31="tc-02-odc",1,0)</f>
        <v>0</v>
      </c>
      <c r="DI31" s="38">
        <f>IF($F31="tc-02-odc",1,0)</f>
        <v>0</v>
      </c>
      <c r="DJ31" s="38">
        <f>IF($F31="tc-02-odc",1,0)</f>
        <v>0</v>
      </c>
      <c r="DK31" s="38">
        <f>IF($F31="tc-02-odc",1,0)</f>
        <v>0</v>
      </c>
      <c r="DL31" s="38">
        <f>IF($F31="tc-02-odc",1,0)</f>
        <v>0</v>
      </c>
      <c r="DM31" s="38">
        <f>IF($F31="tc-02-odc",1,0)</f>
        <v>0</v>
      </c>
      <c r="DN31" s="38">
        <f>IF($F31="tc-02-odc",1,0)</f>
        <v>0</v>
      </c>
      <c r="DO31" s="38">
        <f>IF($F31="tc-02-odc",1,0)</f>
        <v>0</v>
      </c>
      <c r="DP31" s="38">
        <f>IF($F31="tc-02-odc",1,0)</f>
        <v>0</v>
      </c>
      <c r="DQ31" s="38">
        <f>IF($F31="tc-02-odc",1,0)</f>
        <v>0</v>
      </c>
      <c r="DR31" s="38">
        <f>IF($F31="tc-02-odc",1,0)</f>
        <v>0</v>
      </c>
      <c r="DS31" s="38">
        <f>IF($F31="tc-02-odc",1,0)</f>
        <v>0</v>
      </c>
      <c r="DT31" s="38">
        <f>IF($F31="tc-02-odc",1,0)</f>
        <v>0</v>
      </c>
      <c r="DU31" s="38">
        <f>IF($F31="tc-02-odc",1,0)</f>
        <v>0</v>
      </c>
      <c r="DV31" s="38">
        <f>IF($F31="tc-02-odc",1,0)</f>
        <v>0</v>
      </c>
      <c r="DW31" s="38">
        <f>IF($F31="tc-02-odc",1,0)</f>
        <v>0</v>
      </c>
      <c r="DX31" s="38">
        <f>IF($F31="tc-02-odc",1,0)</f>
        <v>0</v>
      </c>
      <c r="DY31" s="38">
        <f>IF($F31="tc-02-odc",1,0)</f>
        <v>0</v>
      </c>
      <c r="DZ31" s="38">
        <f>IF($F31="tc-02-odc",1,0)</f>
        <v>0</v>
      </c>
      <c r="EA31" s="38">
        <f>IF($F31="tc-02-odc",1,0)</f>
        <v>0</v>
      </c>
      <c r="EB31" s="38">
        <f>IF($F31="tc-02-odc",1,0)</f>
        <v>0</v>
      </c>
      <c r="EC31" s="38">
        <f>IF($F31="tc-02-odc",1,0)</f>
        <v>0</v>
      </c>
      <c r="ED31" s="38">
        <f>IF($F31="tc-02-odc",1,0)</f>
        <v>0</v>
      </c>
      <c r="EE31" s="38">
        <f>IF($F31="DCD-PVC-1",1,0)</f>
        <v>0</v>
      </c>
      <c r="EF31" s="38">
        <f>IF($F31="tc-02-odc",1,0)</f>
        <v>0</v>
      </c>
      <c r="EG31" s="38">
        <f>IF($F31="tc-02-odc",1,0)</f>
        <v>0</v>
      </c>
      <c r="EH31" s="38">
        <f>IF($F31="tc-02-odc",1,0)</f>
        <v>0</v>
      </c>
      <c r="EI31" s="38">
        <f>IF($F31="tc-02-odc",1,0)</f>
        <v>0</v>
      </c>
      <c r="EJ31" s="38">
        <f>IF($F31="tc-02-odc",1,0)</f>
        <v>0</v>
      </c>
      <c r="EK31" s="38">
        <f>IF($F31="tc-02-odc",1,0)</f>
        <v>0</v>
      </c>
      <c r="EL31" s="38">
        <f>IF($F31="tc-02-odc",1,0)</f>
        <v>0</v>
      </c>
      <c r="EM31" s="38">
        <f>IF($F31="tc-02-odc",1,0)</f>
        <v>0</v>
      </c>
      <c r="EN31" s="38">
        <f>IF($F31="DD-HDPE-40-1",$E31,0)</f>
        <v>0</v>
      </c>
      <c r="EO31" s="38">
        <f>IF($F31="DD-HDPE-40-1",$E31,0)</f>
        <v>0</v>
      </c>
      <c r="EP31" s="38">
        <f>IF($F31="DD-HDPE-50-1",$E31,0)</f>
        <v>0</v>
      </c>
      <c r="EQ31" s="38"/>
      <c r="ER31" s="38"/>
      <c r="ES31" s="38"/>
      <c r="ET31" s="38"/>
      <c r="EU31" s="38"/>
      <c r="EV31" s="38"/>
      <c r="EW31" s="38"/>
      <c r="EX31" s="38"/>
      <c r="EY31" s="38"/>
      <c r="EZ31" s="38"/>
      <c r="FA31" s="38"/>
      <c r="FB31" s="38"/>
      <c r="FC31" s="38"/>
      <c r="FD31" s="38"/>
      <c r="FE31" s="38"/>
      <c r="FF31" s="94"/>
      <c r="FG31" s="94"/>
      <c r="FH31" s="94"/>
      <c r="FI31" s="94"/>
      <c r="FJ31" s="94"/>
      <c r="FK31" s="94"/>
      <c r="FL31" s="94"/>
      <c r="FM31" s="94"/>
      <c r="FN31" s="94"/>
      <c r="FO31" s="94"/>
      <c r="FP31" s="94"/>
      <c r="FQ31" s="94"/>
      <c r="FR31" s="94"/>
      <c r="FS31" s="94"/>
      <c r="FT31" s="94"/>
      <c r="FU31" s="94"/>
      <c r="FV31" s="94"/>
      <c r="FW31" s="94"/>
      <c r="FX31" s="94"/>
      <c r="FY31" s="94"/>
      <c r="FZ31" s="94"/>
      <c r="GA31" s="94"/>
      <c r="GB31" s="94"/>
      <c r="GC31" s="94"/>
      <c r="GD31" s="94"/>
      <c r="GE31" s="94"/>
      <c r="GF31" s="94"/>
      <c r="GG31" s="94"/>
      <c r="GH31" s="94"/>
      <c r="GI31" s="94"/>
      <c r="GJ31" s="94"/>
      <c r="GK31" s="94"/>
      <c r="GL31" s="94"/>
      <c r="GM31" s="94"/>
      <c r="GN31" s="94"/>
      <c r="GO31" s="94"/>
      <c r="GP31" s="94"/>
      <c r="GQ31" s="94"/>
      <c r="GR31" s="94"/>
      <c r="GS31" s="94"/>
      <c r="GT31" s="94"/>
      <c r="GU31" s="94"/>
      <c r="GV31" s="94"/>
      <c r="GW31" s="94"/>
      <c r="GX31" s="94"/>
      <c r="GY31" s="94"/>
      <c r="GZ31" s="94"/>
      <c r="HA31" s="76"/>
      <c r="HB31" s="77"/>
      <c r="HC31" s="74"/>
    </row>
    <row r="32" spans="1:212" customHeight="1" ht="17.25" s="4" customFormat="1">
      <c r="A32" s="63"/>
      <c r="B32" s="31"/>
      <c r="C32" s="88"/>
      <c r="D32" s="88"/>
      <c r="E32" s="92"/>
      <c r="F32" s="96"/>
      <c r="G32" s="37">
        <f>IF($F32="SLACK-12CORE",$E32,0)</f>
        <v>0</v>
      </c>
      <c r="H32" s="37">
        <f>IF($F32="Slack Support HH",1,0)</f>
        <v>0</v>
      </c>
      <c r="I32" s="38">
        <f>IF($F32="SLACK-24CORE",$E32,0)</f>
        <v>0</v>
      </c>
      <c r="J32" s="38">
        <f>IF($F32="SLACK-48CORE",$E32,0)</f>
        <v>0</v>
      </c>
      <c r="K32" s="38">
        <f>IF($F32="SLACK-96CORE",$E32,0)</f>
        <v>0</v>
      </c>
      <c r="L32" s="38">
        <f>IF($F32="Slack Support HH",$E32,0)</f>
        <v>0</v>
      </c>
      <c r="M32" s="38">
        <f>IF($F32="HH-PIT-80",1,0)</f>
        <v>0</v>
      </c>
      <c r="N32" s="38">
        <f>IF($F32="AC-OF-SM-12D",$E32,0)</f>
        <v>0</v>
      </c>
      <c r="O32" s="38">
        <f>IF($F32="AC-OF-SM-24D",$E32,0)</f>
        <v>0</v>
      </c>
      <c r="P32" s="38">
        <f>IF($F32="AC-OF-SM-48D",$E32,0)</f>
        <v>0</v>
      </c>
      <c r="Q32" s="38">
        <f>IF($F32="AC-OF-SM-96D",$E32,0)</f>
        <v>0</v>
      </c>
      <c r="R32" s="38">
        <f>IF($F32="AC-OF-SM-ADSS-12D",$E32,0)</f>
        <v>0</v>
      </c>
      <c r="S32" s="38">
        <f>IF($F32="AC-OF-SM-12-SC",$E32,0)</f>
        <v>0</v>
      </c>
      <c r="T32" s="38">
        <f>IF($F32="AC-OF-SM-24-SC",$E32,0)</f>
        <v>0</v>
      </c>
      <c r="U32" s="38">
        <f>IF($F32="AC-OF-SM-48-SC",$E32,0)</f>
        <v>0</v>
      </c>
      <c r="V32" s="38">
        <f>IF($F32="AC-OF-SM-96-SC",$E32,0)</f>
        <v>0</v>
      </c>
      <c r="W32" s="38">
        <f>IF($F32="DC-OF-SM-144D",$E32,0)</f>
        <v>0</v>
      </c>
      <c r="X32" s="38">
        <f>IF($F32="DC-OF-SM-288D",$E32,0)</f>
        <v>0</v>
      </c>
      <c r="Y32" s="38">
        <f>IF($F32="AC-OF-SM-12-SC",$E32,0)</f>
        <v>0</v>
      </c>
      <c r="Z32" s="38">
        <f>IF($F32="SC-OF-SM-12",1,0)</f>
        <v>0</v>
      </c>
      <c r="AA32" s="38">
        <f>IF($F32="SC-OF-SM-12",1,0)</f>
        <v>0</v>
      </c>
      <c r="AB32" s="38">
        <f>IF($F32="SC-OF-SM-12",1,0)</f>
        <v>0</v>
      </c>
      <c r="AC32" s="38">
        <f>IF($F32="SC-OF-SM-12",1,0)</f>
        <v>0</v>
      </c>
      <c r="AD32" s="38">
        <f>IF($F32="SC-OF-SM-12",1,0)</f>
        <v>0</v>
      </c>
      <c r="AE32" s="38">
        <f>IF($F32="SC-OF-SM-24",1,0)</f>
        <v>0</v>
      </c>
      <c r="AF32" s="38">
        <f>IF($F32="OS-SM-1",$E32,0)</f>
        <v>0</v>
      </c>
      <c r="AG32" s="38">
        <f>IF($F32="OS-SM-1",$E32,0)</f>
        <v>0</v>
      </c>
      <c r="AH32" s="38">
        <f>IF($F32="OS-SM-1",$E32,0)</f>
        <v>0</v>
      </c>
      <c r="AI32" s="38">
        <f>IF($F32="OS-SM-1",$E32,0)</f>
        <v>0</v>
      </c>
      <c r="AJ32" s="38">
        <f>IF($F32="OS-SM-1",$E32,0)</f>
        <v>0</v>
      </c>
      <c r="AK32" s="38">
        <v>58</v>
      </c>
      <c r="AL32" s="38">
        <f>IF($F32="OS-SM-1",$E32,0)</f>
        <v>0</v>
      </c>
      <c r="AM32" s="38">
        <f>IF($F32="OS-SM-1",$E32,0)</f>
        <v>0</v>
      </c>
      <c r="AN32" s="38">
        <f>IF($F32="OS-SM-1",$E32,0)</f>
        <v>0</v>
      </c>
      <c r="AO32" s="38">
        <f>IF($F32="OS-SM-1",$E32,0)</f>
        <v>0</v>
      </c>
      <c r="AP32" s="38">
        <v>58</v>
      </c>
      <c r="AQ32" s="38">
        <f>IF($F32="OS-SM-1",$E32,0)</f>
        <v>0</v>
      </c>
      <c r="AR32" s="38">
        <f>IF($F32="OS-SM-1",$E32,0)</f>
        <v>0</v>
      </c>
      <c r="AS32" s="38">
        <f>IF($F32="OS-SM-1",$E32,0)</f>
        <v>0</v>
      </c>
      <c r="AT32" s="38">
        <v>58</v>
      </c>
      <c r="AU32" s="38">
        <f>IF($F32="OS-SM-1",$E32,0)</f>
        <v>0</v>
      </c>
      <c r="AV32" s="38">
        <v>58</v>
      </c>
      <c r="AW32" s="38">
        <f>IF($F32="OS-SM-1",$E32,0)</f>
        <v>0</v>
      </c>
      <c r="AX32" s="38">
        <f>IF($F32="OS-SM-1",$E32,0)</f>
        <v>0</v>
      </c>
      <c r="AY32" s="38">
        <v>58</v>
      </c>
      <c r="AZ32" s="38">
        <f>IF($F32="OS-SM-1",$E32,0)</f>
        <v>0</v>
      </c>
      <c r="BA32" s="38">
        <f>IF($F32="OS-SM-1",$E32,0)</f>
        <v>0</v>
      </c>
      <c r="BB32" s="38">
        <f>IF($F32="OS-SM-1",$E32,0)</f>
        <v>0</v>
      </c>
      <c r="BC32" s="38">
        <f>IF($F32="OS-SM-1",$E32,0)</f>
        <v>0</v>
      </c>
      <c r="BD32" s="38">
        <f>IF($F32="OS-SM-1",$E32,0)</f>
        <v>0</v>
      </c>
      <c r="BE32" s="38">
        <f>IF($F32="OS-SM-1",$E32,0)</f>
        <v>0</v>
      </c>
      <c r="BF32" s="38">
        <f>IF($F32="OS-SM-1",$E32,0)</f>
        <v>0</v>
      </c>
      <c r="BG32" s="38">
        <f>IF($F32="PC-UPC-652-2",$E32,0)</f>
        <v>0</v>
      </c>
      <c r="BH32" s="38">
        <f>IF($F32="PC-APC/UPC-652-A1",$E32,0)</f>
        <v>0</v>
      </c>
      <c r="BI32" s="38">
        <f>IF($F32="OS-SM-1",$E32,0)</f>
        <v>0</v>
      </c>
      <c r="BJ32" s="38">
        <f>IF($F32="ODC-C-144",$E32,0)</f>
        <v>0</v>
      </c>
      <c r="BK32" s="38">
        <f>IF($F32="ODC-C-288",1,0)</f>
        <v>0</v>
      </c>
      <c r="BL32" s="38">
        <f>IF($F32="ODC-PROT-144",1,0)</f>
        <v>0</v>
      </c>
      <c r="BM32" s="38">
        <f>IF($F32="ODC-PROT-288",1,0)</f>
        <v>0</v>
      </c>
      <c r="BN32" s="38">
        <f>IF($F32="ODP-CA-8",1,0)</f>
        <v>0</v>
      </c>
      <c r="BO32" s="38">
        <f>IF($F32="ODP-CA-16",1,0)</f>
        <v>0</v>
      </c>
      <c r="BP32" s="38">
        <f>IF($F32="ODP-A-8",1,0)</f>
        <v>0</v>
      </c>
      <c r="BQ32" s="38">
        <f>IF($F32="ODP-Solid-PB-8",1,0)</f>
        <v>0</v>
      </c>
      <c r="BR32" s="38">
        <f>IF($F32="ODP-Solid-PB-16",1,0)</f>
        <v>0</v>
      </c>
      <c r="BS32" s="38">
        <f>IF($F32="ODP-Solid-PB-8 AS",1,0)</f>
        <v>0</v>
      </c>
      <c r="BT32" s="38">
        <f>IF($F32="ODP-Solid-PB-16 AS",1,0)</f>
        <v>0</v>
      </c>
      <c r="BU32" s="38">
        <f>IF($F32="ODP-PL-16",1,0)</f>
        <v>0</v>
      </c>
      <c r="BV32" s="38">
        <f>IF($F32="TC-SM-12",1,0)</f>
        <v>0</v>
      </c>
      <c r="BW32" s="38">
        <f>IF($F32="TC-SM-12",1,0)</f>
        <v>0</v>
      </c>
      <c r="BX32" s="38">
        <f>IF($F32="TC-SM-48",1,0)</f>
        <v>0</v>
      </c>
      <c r="BY32" s="38">
        <f>IF($F32="TC-SM-96",1,0)</f>
        <v>0</v>
      </c>
      <c r="BZ32" s="38">
        <f>IF($F32="TC-SM-96",1,0)</f>
        <v>0</v>
      </c>
      <c r="CA32" s="38">
        <f>IF($F32="TC-SM-96",1,0)</f>
        <v>0</v>
      </c>
      <c r="CB32" s="38">
        <f>IF($F32="TC-SM-96",1,0)</f>
        <v>0</v>
      </c>
      <c r="CC32" s="38">
        <f>IF($F32="TC-SM-96",1,0)</f>
        <v>0</v>
      </c>
      <c r="CD32" s="38">
        <f>IF($F32="TC-SM-96",1,0)</f>
        <v>0</v>
      </c>
      <c r="CE32" s="38">
        <f>IF($F32="TC-SM-144",1,0)</f>
        <v>0</v>
      </c>
      <c r="CF32" s="38">
        <f>IF($F32="PS-1-4-ODC",$E32,0)</f>
        <v>0</v>
      </c>
      <c r="CG32" s="38">
        <f>IF($F32="PS-1-8-ODP",$E32,0)</f>
        <v>0</v>
      </c>
      <c r="CH32" s="38">
        <f>IF($F32="PS-1-16-ODP",1,0)</f>
        <v>0</v>
      </c>
      <c r="CI32" s="38">
        <f>IF($F32="TC-SM-96",1,0)</f>
        <v>0</v>
      </c>
      <c r="CJ32" s="38">
        <f>IF($F32="TC-SM-96",1,0)</f>
        <v>0</v>
      </c>
      <c r="CK32" s="38">
        <f>IF($F32="SITAC",1,0)</f>
        <v>0</v>
      </c>
      <c r="CL32" s="38">
        <f>IF($F32="PU-S7.0-140",1,0)</f>
        <v>0</v>
      </c>
      <c r="CM32" s="38">
        <f>IF($F32="PU-S7.0-400NM ",1,0)</f>
        <v>0</v>
      </c>
      <c r="CN32" s="38">
        <f>IF($F32="PU-S9.0-140",1,0)</f>
        <v>0</v>
      </c>
      <c r="CO32" s="38"/>
      <c r="CP32" s="38"/>
      <c r="CQ32" s="38"/>
      <c r="CR32" s="38">
        <f>IF($F32="PU-AS-SC",1,0)</f>
        <v>0</v>
      </c>
      <c r="CS32" s="38">
        <f>IF($F32="PU-AS-HL",1,0)</f>
        <v>0</v>
      </c>
      <c r="CT32" s="38">
        <f>IF($F32="STAINLESS BELT",1,0)</f>
        <v>0</v>
      </c>
      <c r="CU32" s="38">
        <f>IF($F32="PU-AS",1,0)</f>
        <v>0</v>
      </c>
      <c r="CV32" s="38">
        <f>IF($F32="GB-G1",1,0)</f>
        <v>0</v>
      </c>
      <c r="CW32" s="38">
        <f>IF($F32="GB-G3",1,0)</f>
        <v>0</v>
      </c>
      <c r="CX32" s="38"/>
      <c r="CY32" s="38">
        <f>IF($F32="TC-02-ODC",$E32,0)</f>
        <v>0</v>
      </c>
      <c r="CZ32" s="38">
        <f>IF($F32="tc-02-odc",1,0)</f>
        <v>0</v>
      </c>
      <c r="DA32" s="38">
        <f>IF($F32="tc-02-odc",1,0)</f>
        <v>0</v>
      </c>
      <c r="DB32" s="38">
        <f>IF($F32="tc-02-odc",1,0)</f>
        <v>0</v>
      </c>
      <c r="DC32" s="38">
        <f>IF($F32="tc-02-odc",1,0)</f>
        <v>0</v>
      </c>
      <c r="DD32" s="38">
        <f>IF($F32="tc-02-odc",1,0)</f>
        <v>0</v>
      </c>
      <c r="DE32" s="38">
        <f>IF($F32="tc-02-odc",1,0)</f>
        <v>0</v>
      </c>
      <c r="DF32" s="38">
        <f>IF($F32="tc-02-odc",1,0)</f>
        <v>0</v>
      </c>
      <c r="DG32" s="38">
        <f>IF($F32="tc-02-odc",1,0)</f>
        <v>0</v>
      </c>
      <c r="DH32" s="38">
        <f>IF($F32="tc-02-odc",1,0)</f>
        <v>0</v>
      </c>
      <c r="DI32" s="38">
        <f>IF($F32="tc-02-odc",1,0)</f>
        <v>0</v>
      </c>
      <c r="DJ32" s="38">
        <f>IF($F32="tc-02-odc",1,0)</f>
        <v>0</v>
      </c>
      <c r="DK32" s="38">
        <f>IF($F32="tc-02-odc",1,0)</f>
        <v>0</v>
      </c>
      <c r="DL32" s="38">
        <f>IF($F32="tc-02-odc",1,0)</f>
        <v>0</v>
      </c>
      <c r="DM32" s="38">
        <f>IF($F32="tc-02-odc",1,0)</f>
        <v>0</v>
      </c>
      <c r="DN32" s="38">
        <f>IF($F32="tc-02-odc",1,0)</f>
        <v>0</v>
      </c>
      <c r="DO32" s="38">
        <f>IF($F32="tc-02-odc",1,0)</f>
        <v>0</v>
      </c>
      <c r="DP32" s="38">
        <f>IF($F32="tc-02-odc",1,0)</f>
        <v>0</v>
      </c>
      <c r="DQ32" s="38">
        <f>IF($F32="tc-02-odc",1,0)</f>
        <v>0</v>
      </c>
      <c r="DR32" s="38">
        <f>IF($F32="tc-02-odc",1,0)</f>
        <v>0</v>
      </c>
      <c r="DS32" s="38">
        <f>IF($F32="tc-02-odc",1,0)</f>
        <v>0</v>
      </c>
      <c r="DT32" s="38">
        <f>IF($F32="tc-02-odc",1,0)</f>
        <v>0</v>
      </c>
      <c r="DU32" s="38">
        <f>IF($F32="tc-02-odc",1,0)</f>
        <v>0</v>
      </c>
      <c r="DV32" s="38">
        <f>IF($F32="tc-02-odc",1,0)</f>
        <v>0</v>
      </c>
      <c r="DW32" s="38">
        <f>IF($F32="tc-02-odc",1,0)</f>
        <v>0</v>
      </c>
      <c r="DX32" s="38">
        <f>IF($F32="tc-02-odc",1,0)</f>
        <v>0</v>
      </c>
      <c r="DY32" s="38">
        <f>IF($F32="tc-02-odc",1,0)</f>
        <v>0</v>
      </c>
      <c r="DZ32" s="38">
        <f>IF($F32="tc-02-odc",1,0)</f>
        <v>0</v>
      </c>
      <c r="EA32" s="38">
        <f>IF($F32="tc-02-odc",1,0)</f>
        <v>0</v>
      </c>
      <c r="EB32" s="38">
        <f>IF($F32="tc-02-odc",1,0)</f>
        <v>0</v>
      </c>
      <c r="EC32" s="38">
        <f>IF($F32="tc-02-odc",1,0)</f>
        <v>0</v>
      </c>
      <c r="ED32" s="38">
        <f>IF($F32="tc-02-odc",1,0)</f>
        <v>0</v>
      </c>
      <c r="EE32" s="38">
        <f>IF($F32="DCD-PVC-1",1,0)</f>
        <v>0</v>
      </c>
      <c r="EF32" s="38">
        <f>IF($F32="tc-02-odc",1,0)</f>
        <v>0</v>
      </c>
      <c r="EG32" s="38">
        <f>IF($F32="tc-02-odc",1,0)</f>
        <v>0</v>
      </c>
      <c r="EH32" s="38">
        <f>IF($F32="tc-02-odc",1,0)</f>
        <v>0</v>
      </c>
      <c r="EI32" s="38">
        <f>IF($F32="tc-02-odc",1,0)</f>
        <v>0</v>
      </c>
      <c r="EJ32" s="38">
        <f>IF($F32="tc-02-odc",1,0)</f>
        <v>0</v>
      </c>
      <c r="EK32" s="38">
        <f>IF($F32="tc-02-odc",1,0)</f>
        <v>0</v>
      </c>
      <c r="EL32" s="38">
        <f>IF($F32="tc-02-odc",1,0)</f>
        <v>0</v>
      </c>
      <c r="EM32" s="38">
        <f>IF($F32="tc-02-odc",1,0)</f>
        <v>0</v>
      </c>
      <c r="EN32" s="38">
        <f>IF($F32="DD-HDPE-40-1",$E32,0)</f>
        <v>0</v>
      </c>
      <c r="EO32" s="38">
        <f>IF($F32="DD-HDPE-40-1",$E32,0)</f>
        <v>0</v>
      </c>
      <c r="EP32" s="38">
        <f>IF($F32="DD-HDPE-50-1",$E32,0)</f>
        <v>0</v>
      </c>
      <c r="EQ32" s="38"/>
      <c r="ER32" s="38"/>
      <c r="ES32" s="38"/>
      <c r="ET32" s="38"/>
      <c r="EU32" s="38"/>
      <c r="EV32" s="38"/>
      <c r="EW32" s="38"/>
      <c r="EX32" s="38"/>
      <c r="EY32" s="38"/>
      <c r="EZ32" s="38"/>
      <c r="FA32" s="38"/>
      <c r="FB32" s="38"/>
      <c r="FC32" s="38"/>
      <c r="FD32" s="38"/>
      <c r="FE32" s="38"/>
      <c r="FF32" s="94"/>
      <c r="FG32" s="94"/>
      <c r="FH32" s="94"/>
      <c r="FI32" s="94"/>
      <c r="FJ32" s="94"/>
      <c r="FK32" s="94"/>
      <c r="FL32" s="94"/>
      <c r="FM32" s="94"/>
      <c r="FN32" s="94"/>
      <c r="FO32" s="94"/>
      <c r="FP32" s="94"/>
      <c r="FQ32" s="94"/>
      <c r="FR32" s="94"/>
      <c r="FS32" s="94"/>
      <c r="FT32" s="94"/>
      <c r="FU32" s="94"/>
      <c r="FV32" s="94"/>
      <c r="FW32" s="94"/>
      <c r="FX32" s="94"/>
      <c r="FY32" s="94"/>
      <c r="FZ32" s="94"/>
      <c r="GA32" s="94"/>
      <c r="GB32" s="94"/>
      <c r="GC32" s="94"/>
      <c r="GD32" s="94"/>
      <c r="GE32" s="94"/>
      <c r="GF32" s="94"/>
      <c r="GG32" s="94"/>
      <c r="GH32" s="94"/>
      <c r="GI32" s="94"/>
      <c r="GJ32" s="94"/>
      <c r="GK32" s="94"/>
      <c r="GL32" s="94"/>
      <c r="GM32" s="94"/>
      <c r="GN32" s="94"/>
      <c r="GO32" s="94"/>
      <c r="GP32" s="94"/>
      <c r="GQ32" s="94"/>
      <c r="GR32" s="94"/>
      <c r="GS32" s="94"/>
      <c r="GT32" s="94"/>
      <c r="GU32" s="94"/>
      <c r="GV32" s="94"/>
      <c r="GW32" s="94"/>
      <c r="GX32" s="94"/>
      <c r="GY32" s="94"/>
      <c r="GZ32" s="94"/>
      <c r="HA32" s="76"/>
      <c r="HB32" s="77"/>
      <c r="HC32" s="74"/>
    </row>
    <row r="33" spans="1:212" customHeight="1" ht="17.25" s="4" customFormat="1">
      <c r="A33" s="63"/>
      <c r="B33" s="31"/>
      <c r="C33" s="89"/>
      <c r="D33" s="61"/>
      <c r="E33" s="60"/>
      <c r="F33" s="59"/>
      <c r="G33" s="37">
        <f>IF($F33="SLACK-12CORE",$E33,0)</f>
        <v>0</v>
      </c>
      <c r="H33" s="37">
        <f>IF($F33="Slack Support HH",1,0)</f>
        <v>0</v>
      </c>
      <c r="I33" s="38">
        <f>IF($F33="SLACK-24CORE",$E33,0)</f>
        <v>0</v>
      </c>
      <c r="J33" s="38">
        <f>IF($F33="SLACK-48CORE",$E33,0)</f>
        <v>0</v>
      </c>
      <c r="K33" s="38">
        <f>IF($F33="SLACK-96CORE",$E33,0)</f>
        <v>0</v>
      </c>
      <c r="L33" s="38">
        <f>IF($F33="Slack Support HH",$E33,0)</f>
        <v>0</v>
      </c>
      <c r="M33" s="38">
        <f>IF($F33="HH-PIT-80",1,0)</f>
        <v>0</v>
      </c>
      <c r="N33" s="38">
        <f>IF($F33="AC-OF-SM-12D",$E33,0)</f>
        <v>0</v>
      </c>
      <c r="O33" s="38">
        <f>IF($F33="AC-OF-SM-24D",$E33,0)</f>
        <v>0</v>
      </c>
      <c r="P33" s="38">
        <f>IF($F33="AC-OF-SM-48D",$E33,0)</f>
        <v>0</v>
      </c>
      <c r="Q33" s="38">
        <f>IF($F33="AC-OF-SM-96D",$E33,0)</f>
        <v>0</v>
      </c>
      <c r="R33" s="38">
        <f>IF($F33="AC-OF-SM-ADSS-12D",$E33,0)</f>
        <v>0</v>
      </c>
      <c r="S33" s="38">
        <f>IF($F33="AC-OF-SM-12-SC",$E33,0)</f>
        <v>0</v>
      </c>
      <c r="T33" s="38">
        <f>IF($F33="AC-OF-SM-24-SC",$E33,0)</f>
        <v>0</v>
      </c>
      <c r="U33" s="38">
        <f>IF($F33="AC-OF-SM-48-SC",$E33,0)</f>
        <v>0</v>
      </c>
      <c r="V33" s="38">
        <f>IF($F33="AC-OF-SM-96-SC",$E33,0)</f>
        <v>0</v>
      </c>
      <c r="W33" s="38">
        <f>IF($F33="DC-OF-SM-144D",$E33,0)</f>
        <v>0</v>
      </c>
      <c r="X33" s="38">
        <f>IF($F33="DC-OF-SM-288D",$E33,0)</f>
        <v>0</v>
      </c>
      <c r="Y33" s="38">
        <f>IF($F33="AC-OF-SM-12-SC",$E33,0)</f>
        <v>0</v>
      </c>
      <c r="Z33" s="38">
        <f>IF($F33="SC-OF-SM-12",1,0)</f>
        <v>0</v>
      </c>
      <c r="AA33" s="38">
        <f>IF($F33="SC-OF-SM-12",1,0)</f>
        <v>0</v>
      </c>
      <c r="AB33" s="38">
        <f>IF($F33="SC-OF-SM-12",1,0)</f>
        <v>0</v>
      </c>
      <c r="AC33" s="38">
        <f>IF($F33="SC-OF-SM-12",1,0)</f>
        <v>0</v>
      </c>
      <c r="AD33" s="38">
        <f>IF($F33="SC-OF-SM-12",1,0)</f>
        <v>0</v>
      </c>
      <c r="AE33" s="38">
        <f>IF($F33="SC-OF-SM-24",1,0)</f>
        <v>0</v>
      </c>
      <c r="AF33" s="38">
        <f>IF($F33="OS-SM-1",$E33,0)</f>
        <v>0</v>
      </c>
      <c r="AG33" s="38">
        <f>IF($F33="OS-SM-1",$E33,0)</f>
        <v>0</v>
      </c>
      <c r="AH33" s="38">
        <f>IF($F33="OS-SM-1",$E33,0)</f>
        <v>0</v>
      </c>
      <c r="AI33" s="38">
        <f>IF($F33="OS-SM-1",$E33,0)</f>
        <v>0</v>
      </c>
      <c r="AJ33" s="38">
        <f>IF($F33="OS-SM-1",$E33,0)</f>
        <v>0</v>
      </c>
      <c r="AK33" s="38">
        <v>542</v>
      </c>
      <c r="AL33" s="38">
        <f>IF($F33="OS-SM-1",$E33,0)</f>
        <v>0</v>
      </c>
      <c r="AM33" s="38">
        <f>IF($F33="OS-SM-1",$E33,0)</f>
        <v>0</v>
      </c>
      <c r="AN33" s="38">
        <f>IF($F33="OS-SM-1",$E33,0)</f>
        <v>0</v>
      </c>
      <c r="AO33" s="38">
        <f>IF($F33="OS-SM-1",$E33,0)</f>
        <v>0</v>
      </c>
      <c r="AP33" s="38">
        <v>542</v>
      </c>
      <c r="AQ33" s="38">
        <f>IF($F33="OS-SM-1",$E33,0)</f>
        <v>0</v>
      </c>
      <c r="AR33" s="38">
        <f>IF($F33="OS-SM-1",$E33,0)</f>
        <v>0</v>
      </c>
      <c r="AS33" s="38">
        <f>IF($F33="OS-SM-1",$E33,0)</f>
        <v>0</v>
      </c>
      <c r="AT33" s="38">
        <v>542</v>
      </c>
      <c r="AU33" s="38">
        <f>IF($F33="OS-SM-1",$E33,0)</f>
        <v>0</v>
      </c>
      <c r="AV33" s="38">
        <v>542</v>
      </c>
      <c r="AW33" s="38">
        <f>IF($F33="OS-SM-1",$E33,0)</f>
        <v>0</v>
      </c>
      <c r="AX33" s="38">
        <f>IF($F33="OS-SM-1",$E33,0)</f>
        <v>0</v>
      </c>
      <c r="AY33" s="38">
        <v>542</v>
      </c>
      <c r="AZ33" s="38">
        <f>IF($F33="OS-SM-1",$E33,0)</f>
        <v>0</v>
      </c>
      <c r="BA33" s="38">
        <f>IF($F33="OS-SM-1",$E33,0)</f>
        <v>0</v>
      </c>
      <c r="BB33" s="38">
        <f>IF($F33="OS-SM-1",$E33,0)</f>
        <v>0</v>
      </c>
      <c r="BC33" s="38">
        <f>IF($F33="OS-SM-1",$E33,0)</f>
        <v>0</v>
      </c>
      <c r="BD33" s="38">
        <f>IF($F33="OS-SM-1",$E33,0)</f>
        <v>0</v>
      </c>
      <c r="BE33" s="38">
        <f>IF($F33="OS-SM-1",$E33,0)</f>
        <v>0</v>
      </c>
      <c r="BF33" s="38">
        <f>IF($F33="OS-SM-1",$E33,0)</f>
        <v>0</v>
      </c>
      <c r="BG33" s="38">
        <f>IF($F33="PC-UPC-652-2",$E33,0)</f>
        <v>0</v>
      </c>
      <c r="BH33" s="38">
        <f>IF($F33="PC-APC/UPC-652-A1",$E33,0)</f>
        <v>0</v>
      </c>
      <c r="BI33" s="38">
        <f>IF($F33="OS-SM-1",$E33,0)</f>
        <v>0</v>
      </c>
      <c r="BJ33" s="38">
        <f>IF($F33="ODC-C-144",$E33,0)</f>
        <v>0</v>
      </c>
      <c r="BK33" s="38">
        <f>IF($F33="ODC-C-288",1,0)</f>
        <v>0</v>
      </c>
      <c r="BL33" s="38">
        <f>IF($F33="ODC-PROT-144",1,0)</f>
        <v>0</v>
      </c>
      <c r="BM33" s="38">
        <f>IF($F33="ODC-PROT-288",1,0)</f>
        <v>0</v>
      </c>
      <c r="BN33" s="38">
        <f>IF($F33="ODP-CA-8",1,0)</f>
        <v>0</v>
      </c>
      <c r="BO33" s="38">
        <f>IF($F33="ODP-CA-16",1,0)</f>
        <v>0</v>
      </c>
      <c r="BP33" s="38">
        <f>IF($F33="ODP-A-8",1,0)</f>
        <v>0</v>
      </c>
      <c r="BQ33" s="38">
        <f>IF($F33="ODP-Solid-PB-8",1,0)</f>
        <v>0</v>
      </c>
      <c r="BR33" s="38">
        <f>IF($F33="ODP-Solid-PB-16",1,0)</f>
        <v>0</v>
      </c>
      <c r="BS33" s="38">
        <f>IF($F33="ODP-Solid-PB-8 AS",1,0)</f>
        <v>0</v>
      </c>
      <c r="BT33" s="38">
        <f>IF($F33="ODP-Solid-PB-16 AS",1,0)</f>
        <v>0</v>
      </c>
      <c r="BU33" s="38">
        <f>IF($F33="ODP-PL-16",1,0)</f>
        <v>0</v>
      </c>
      <c r="BV33" s="38">
        <f>IF($F33="TC-SM-12",1,0)</f>
        <v>0</v>
      </c>
      <c r="BW33" s="38">
        <f>IF($F33="TC-SM-12",1,0)</f>
        <v>0</v>
      </c>
      <c r="BX33" s="38">
        <f>IF($F33="TC-SM-48",1,0)</f>
        <v>0</v>
      </c>
      <c r="BY33" s="38">
        <f>IF($F33="TC-SM-96",1,0)</f>
        <v>0</v>
      </c>
      <c r="BZ33" s="38">
        <f>IF($F33="TC-SM-96",1,0)</f>
        <v>0</v>
      </c>
      <c r="CA33" s="38">
        <f>IF($F33="TC-SM-96",1,0)</f>
        <v>0</v>
      </c>
      <c r="CB33" s="38">
        <f>IF($F33="TC-SM-96",1,0)</f>
        <v>0</v>
      </c>
      <c r="CC33" s="38">
        <f>IF($F33="TC-SM-96",1,0)</f>
        <v>0</v>
      </c>
      <c r="CD33" s="38">
        <f>IF($F33="TC-SM-96",1,0)</f>
        <v>0</v>
      </c>
      <c r="CE33" s="38">
        <f>IF($F33="TC-SM-144",1,0)</f>
        <v>0</v>
      </c>
      <c r="CF33" s="38">
        <f>IF($F33="PS-1-4-ODC",$E33,0)</f>
        <v>0</v>
      </c>
      <c r="CG33" s="38">
        <f>IF($F33="PS-1-8-ODP",$E33,0)</f>
        <v>0</v>
      </c>
      <c r="CH33" s="38">
        <f>IF($F33="PS-1-16-ODP",1,0)</f>
        <v>0</v>
      </c>
      <c r="CI33" s="38">
        <f>IF($F33="TC-SM-96",1,0)</f>
        <v>0</v>
      </c>
      <c r="CJ33" s="38">
        <f>IF($F33="TC-SM-96",1,0)</f>
        <v>0</v>
      </c>
      <c r="CK33" s="38">
        <f>IF($F33="SITAC",1,0)</f>
        <v>0</v>
      </c>
      <c r="CL33" s="38">
        <f>IF($F33="PU-S7.0-140",1,0)</f>
        <v>0</v>
      </c>
      <c r="CM33" s="38">
        <f>IF($F33="PU-S7.0-400NM ",1,0)</f>
        <v>0</v>
      </c>
      <c r="CN33" s="38">
        <f>IF($F33="PU-S9.0-140",1,0)</f>
        <v>0</v>
      </c>
      <c r="CO33" s="38"/>
      <c r="CP33" s="38"/>
      <c r="CQ33" s="38"/>
      <c r="CR33" s="38">
        <f>IF($F33="PU-AS-SC",1,0)</f>
        <v>0</v>
      </c>
      <c r="CS33" s="38">
        <f>IF($F33="PU-AS-HL",2,0)</f>
        <v>0</v>
      </c>
      <c r="CT33" s="38"/>
      <c r="CU33" s="38">
        <f>IF($F33="PU-AS",1,0)</f>
        <v>0</v>
      </c>
      <c r="CV33" s="38">
        <f>IF($F33="GB-G1",1,0)</f>
        <v>0</v>
      </c>
      <c r="CW33" s="38">
        <f>IF($F33="GB-G3",1,0)</f>
        <v>0</v>
      </c>
      <c r="CX33" s="38"/>
      <c r="CY33" s="38">
        <f>IF($F33="TC-02-ODC",$E33,0)</f>
        <v>0</v>
      </c>
      <c r="CZ33" s="38">
        <f>IF($F33="tc-02-odc",1,0)</f>
        <v>0</v>
      </c>
      <c r="DA33" s="38">
        <f>IF($F33="tc-02-odc",1,0)</f>
        <v>0</v>
      </c>
      <c r="DB33" s="38">
        <f>IF($F33="tc-02-odc",1,0)</f>
        <v>0</v>
      </c>
      <c r="DC33" s="38">
        <f>IF($F33="tc-02-odc",1,0)</f>
        <v>0</v>
      </c>
      <c r="DD33" s="38">
        <f>IF($F33="tc-02-odc",1,0)</f>
        <v>0</v>
      </c>
      <c r="DE33" s="38">
        <f>IF($F33="tc-02-odc",1,0)</f>
        <v>0</v>
      </c>
      <c r="DF33" s="38">
        <f>IF($F33="tc-02-odc",1,0)</f>
        <v>0</v>
      </c>
      <c r="DG33" s="38">
        <f>IF($F33="tc-02-odc",1,0)</f>
        <v>0</v>
      </c>
      <c r="DH33" s="38">
        <f>IF($F33="tc-02-odc",1,0)</f>
        <v>0</v>
      </c>
      <c r="DI33" s="38">
        <f>IF($F33="tc-02-odc",1,0)</f>
        <v>0</v>
      </c>
      <c r="DJ33" s="38">
        <f>IF($F33="tc-02-odc",1,0)</f>
        <v>0</v>
      </c>
      <c r="DK33" s="38">
        <f>IF($F33="tc-02-odc",1,0)</f>
        <v>0</v>
      </c>
      <c r="DL33" s="38">
        <f>IF($F33="tc-02-odc",1,0)</f>
        <v>0</v>
      </c>
      <c r="DM33" s="38">
        <f>IF($F33="tc-02-odc",1,0)</f>
        <v>0</v>
      </c>
      <c r="DN33" s="38">
        <f>IF($F33="tc-02-odc",1,0)</f>
        <v>0</v>
      </c>
      <c r="DO33" s="38">
        <f>IF($F33="tc-02-odc",1,0)</f>
        <v>0</v>
      </c>
      <c r="DP33" s="38">
        <f>IF($F33="tc-02-odc",1,0)</f>
        <v>0</v>
      </c>
      <c r="DQ33" s="38">
        <f>IF($F33="tc-02-odc",1,0)</f>
        <v>0</v>
      </c>
      <c r="DR33" s="38">
        <f>IF($F33="tc-02-odc",1,0)</f>
        <v>0</v>
      </c>
      <c r="DS33" s="38">
        <f>IF($F33="tc-02-odc",1,0)</f>
        <v>0</v>
      </c>
      <c r="DT33" s="38">
        <f>IF($F33="tc-02-odc",1,0)</f>
        <v>0</v>
      </c>
      <c r="DU33" s="38">
        <f>IF($F33="tc-02-odc",1,0)</f>
        <v>0</v>
      </c>
      <c r="DV33" s="38">
        <f>IF($F33="tc-02-odc",1,0)</f>
        <v>0</v>
      </c>
      <c r="DW33" s="38">
        <f>IF($F33="tc-02-odc",1,0)</f>
        <v>0</v>
      </c>
      <c r="DX33" s="38">
        <f>IF($F33="tc-02-odc",1,0)</f>
        <v>0</v>
      </c>
      <c r="DY33" s="38">
        <f>IF($F33="tc-02-odc",1,0)</f>
        <v>0</v>
      </c>
      <c r="DZ33" s="38">
        <f>IF($F33="tc-02-odc",1,0)</f>
        <v>0</v>
      </c>
      <c r="EA33" s="38">
        <f>IF($F33="tc-02-odc",1,0)</f>
        <v>0</v>
      </c>
      <c r="EB33" s="38">
        <f>IF($F33="tc-02-odc",1,0)</f>
        <v>0</v>
      </c>
      <c r="EC33" s="38">
        <f>IF($F33="tc-02-odc",1,0)</f>
        <v>0</v>
      </c>
      <c r="ED33" s="38">
        <f>IF($F33="tc-02-odc",1,0)</f>
        <v>0</v>
      </c>
      <c r="EE33" s="38">
        <f>IF($F33="DCD-PVC-1",1,0)</f>
        <v>0</v>
      </c>
      <c r="EF33" s="38">
        <f>IF($F33="tc-02-odc",1,0)</f>
        <v>0</v>
      </c>
      <c r="EG33" s="38">
        <f>IF($F33="tc-02-odc",1,0)</f>
        <v>0</v>
      </c>
      <c r="EH33" s="38">
        <f>IF($F33="tc-02-odc",1,0)</f>
        <v>0</v>
      </c>
      <c r="EI33" s="38">
        <f>IF($F33="tc-02-odc",1,0)</f>
        <v>0</v>
      </c>
      <c r="EJ33" s="38">
        <f>IF($F33="tc-02-odc",1,0)</f>
        <v>0</v>
      </c>
      <c r="EK33" s="38">
        <f>IF($F33="tc-02-odc",1,0)</f>
        <v>0</v>
      </c>
      <c r="EL33" s="38">
        <f>IF($F33="tc-02-odc",1,0)</f>
        <v>0</v>
      </c>
      <c r="EM33" s="38">
        <f>IF($F33="tc-02-odc",1,0)</f>
        <v>0</v>
      </c>
      <c r="EN33" s="38">
        <f>IF($F33="DD-HDPE-40-1",$E33,0)</f>
        <v>0</v>
      </c>
      <c r="EO33" s="38">
        <f>IF($F33="DD-HDPE-40-1",$E33,0)</f>
        <v>0</v>
      </c>
      <c r="EP33" s="38">
        <f>IF($F33="DD-HDPE-50-1",$E33,0)</f>
        <v>0</v>
      </c>
      <c r="EQ33" s="38">
        <f>IF($F33="DD-HDPE-50-1",$E33,0)</f>
        <v>0</v>
      </c>
      <c r="ER33" s="38">
        <f>IF($F33="DD-HDPE-50-1",$E33,0)</f>
        <v>0</v>
      </c>
      <c r="ES33" s="38">
        <f>IF($F33="DD-HDPE-50-1",$E33,0)</f>
        <v>0</v>
      </c>
      <c r="ET33" s="38">
        <f>IF($F33="DD-HDPE-50-1",$E33,0)</f>
        <v>0</v>
      </c>
      <c r="EU33" s="38">
        <f>IF($F33="DD-HDPE-50-1",$E33,0)</f>
        <v>0</v>
      </c>
      <c r="EV33" s="38">
        <f>IF($F33="DD-HDPE-50-1",$E33,0)</f>
        <v>0</v>
      </c>
      <c r="EW33" s="38">
        <f>IF($F33="DD-HDPE-50-1",$E33,0)</f>
        <v>0</v>
      </c>
      <c r="EX33" s="38">
        <v>33</v>
      </c>
      <c r="EY33" s="38">
        <f>IF($F33="DD-HDPE-50-1",$E33,0)</f>
        <v>0</v>
      </c>
      <c r="EZ33" s="38">
        <f>IF($F33="DD-HDPE-50-1",$E33,0)</f>
        <v>0</v>
      </c>
      <c r="FA33" s="38">
        <f>IF($F33="DD-HDPE-50-1",$E33,0)</f>
        <v>0</v>
      </c>
      <c r="FB33" s="38">
        <f>IF($F33="DD-HDPE-50-1",$E33,0)</f>
        <v>0</v>
      </c>
      <c r="FC33" s="38">
        <f>IF($F33="DD-HDPE-50-1",$E33,0)</f>
        <v>0</v>
      </c>
      <c r="FD33" s="38">
        <f>IF($F33="DD-HDPE-50-1",$E33,0)</f>
        <v>0</v>
      </c>
      <c r="FE33" s="38">
        <f>IF($F33="BC-TR-5",$E33,0)</f>
        <v>0</v>
      </c>
      <c r="FF33" s="37"/>
      <c r="FG33" s="37"/>
      <c r="FH33" s="37"/>
      <c r="FI33" s="37"/>
      <c r="FJ33" s="37"/>
      <c r="FK33" s="37"/>
      <c r="FL33" s="37"/>
      <c r="FM33" s="37"/>
      <c r="FN33" s="37"/>
      <c r="FO33" s="37"/>
      <c r="FP33" s="37"/>
      <c r="FQ33" s="37"/>
      <c r="FR33" s="37"/>
      <c r="FS33" s="37"/>
      <c r="FT33" s="37"/>
      <c r="FU33" s="37"/>
      <c r="FV33" s="37"/>
      <c r="FW33" s="37"/>
      <c r="FX33" s="37"/>
      <c r="FY33" s="37"/>
      <c r="FZ33" s="37"/>
      <c r="GA33" s="37"/>
      <c r="GB33" s="37"/>
      <c r="GC33" s="37"/>
      <c r="GD33" s="37"/>
      <c r="GE33" s="37"/>
      <c r="GF33" s="37"/>
      <c r="GG33" s="37"/>
      <c r="GH33" s="37"/>
      <c r="GI33" s="37"/>
      <c r="GJ33" s="37"/>
      <c r="GK33" s="37"/>
      <c r="GL33" s="37"/>
      <c r="GM33" s="37"/>
      <c r="GN33" s="37"/>
      <c r="GO33" s="37"/>
      <c r="GP33" s="37"/>
      <c r="GQ33" s="37"/>
      <c r="GR33" s="37"/>
      <c r="GS33" s="37"/>
      <c r="GT33" s="37"/>
      <c r="GU33" s="37"/>
      <c r="GV33" s="37"/>
      <c r="GW33" s="37"/>
      <c r="GX33" s="37"/>
      <c r="GY33" s="37"/>
      <c r="GZ33" s="37"/>
      <c r="HA33" s="76"/>
      <c r="HB33" s="77"/>
      <c r="HC33" s="74"/>
    </row>
    <row r="34" spans="1:212" customHeight="1" ht="17.25" s="4" customFormat="1">
      <c r="A34" s="63"/>
      <c r="B34" s="31"/>
      <c r="C34" s="97"/>
      <c r="D34" s="67"/>
      <c r="E34" s="85"/>
      <c r="F34" s="68"/>
      <c r="G34" s="37">
        <f>IF($F34="SLACK-12CORE",$E34,0)</f>
        <v>0</v>
      </c>
      <c r="H34" s="37">
        <f>IF($F34="Slack Support HH",1,0)</f>
        <v>0</v>
      </c>
      <c r="I34" s="38">
        <f>IF($F34="SLACK-24CORE",$E34,0)</f>
        <v>0</v>
      </c>
      <c r="J34" s="38">
        <f>IF($F34="SLACK-48CORE",$E34,0)</f>
        <v>0</v>
      </c>
      <c r="K34" s="38">
        <f>IF($F34="SLACK-96CORE",$E34,0)</f>
        <v>0</v>
      </c>
      <c r="L34" s="38">
        <f>IF($F34="Slack Support HH",$E34,0)</f>
        <v>0</v>
      </c>
      <c r="M34" s="38">
        <f>IF($F34="HH-PIT-80",1,0)</f>
        <v>0</v>
      </c>
      <c r="N34" s="38">
        <f>IF($F34="AC-OF-SM-12D",$E34,0)</f>
        <v>0</v>
      </c>
      <c r="O34" s="38">
        <f>IF($F34="AC-OF-SM-24D",$E34,0)</f>
        <v>0</v>
      </c>
      <c r="P34" s="38">
        <f>IF($F34="AC-OF-SM-48D",$E34,0)</f>
        <v>0</v>
      </c>
      <c r="Q34" s="38">
        <f>IF($F34="AC-OF-SM-96D",$E34,0)</f>
        <v>0</v>
      </c>
      <c r="R34" s="38">
        <f>IF($F34="AC-OF-SM-ADSS-12D",$E34,0)</f>
        <v>0</v>
      </c>
      <c r="S34" s="38">
        <f>IF($F34="AC-OF-SM-12-SC",$E34,0)</f>
        <v>0</v>
      </c>
      <c r="T34" s="38">
        <f>IF($F34="AC-OF-SM-24-SC",$E34,0)</f>
        <v>0</v>
      </c>
      <c r="U34" s="38">
        <f>IF($F34="AC-OF-SM-48-SC",$E34,0)</f>
        <v>0</v>
      </c>
      <c r="V34" s="38">
        <f>IF($F34="AC-OF-SM-96-SC",$E34,0)</f>
        <v>0</v>
      </c>
      <c r="W34" s="38">
        <f>IF($F34="DC-OF-SM-144D",$E34,0)</f>
        <v>0</v>
      </c>
      <c r="X34" s="38">
        <f>IF($F34="DC-OF-SM-288D",$E34,0)</f>
        <v>0</v>
      </c>
      <c r="Y34" s="38">
        <f>IF($F34="AC-OF-SM-12-SC",$E34,0)</f>
        <v>0</v>
      </c>
      <c r="Z34" s="38">
        <f>IF($F34="SC-OF-SM-12",1,0)</f>
        <v>0</v>
      </c>
      <c r="AA34" s="38">
        <f>IF($F34="SC-OF-SM-12",1,0)</f>
        <v>0</v>
      </c>
      <c r="AB34" s="38">
        <f>IF($F34="SC-OF-SM-12",1,0)</f>
        <v>0</v>
      </c>
      <c r="AC34" s="38">
        <f>IF($F34="SC-OF-SM-12",1,0)</f>
        <v>0</v>
      </c>
      <c r="AD34" s="38">
        <f>IF($F34="SC-OF-SM-12",1,0)</f>
        <v>0</v>
      </c>
      <c r="AE34" s="38">
        <f>IF($F34="SC-OF-SM-24",1,0)</f>
        <v>0</v>
      </c>
      <c r="AF34" s="38">
        <f>IF($F34="OS-SM-1",$E34,0)</f>
        <v>0</v>
      </c>
      <c r="AG34" s="38">
        <f>IF($F34="OS-SM-1",$E34,0)</f>
        <v>0</v>
      </c>
      <c r="AH34" s="38">
        <f>IF($F34="OS-SM-1",$E34,0)</f>
        <v>0</v>
      </c>
      <c r="AI34" s="38">
        <f>IF($F34="OS-SM-1",$E34,0)</f>
        <v>0</v>
      </c>
      <c r="AJ34" s="38">
        <f>IF($F34="OS-SM-1",$E34,0)</f>
        <v>0</v>
      </c>
      <c r="AK34" s="38">
        <v>543</v>
      </c>
      <c r="AL34" s="38">
        <f>IF($F34="OS-SM-1",$E34,0)</f>
        <v>0</v>
      </c>
      <c r="AM34" s="38">
        <f>IF($F34="OS-SM-1",$E34,0)</f>
        <v>0</v>
      </c>
      <c r="AN34" s="38">
        <f>IF($F34="OS-SM-1",$E34,0)</f>
        <v>0</v>
      </c>
      <c r="AO34" s="38">
        <f>IF($F34="OS-SM-1",$E34,0)</f>
        <v>0</v>
      </c>
      <c r="AP34" s="38">
        <v>543</v>
      </c>
      <c r="AQ34" s="38">
        <f>IF($F34="OS-SM-1",$E34,0)</f>
        <v>0</v>
      </c>
      <c r="AR34" s="38">
        <f>IF($F34="OS-SM-1",$E34,0)</f>
        <v>0</v>
      </c>
      <c r="AS34" s="38">
        <f>IF($F34="OS-SM-1",$E34,0)</f>
        <v>0</v>
      </c>
      <c r="AT34" s="38">
        <v>543</v>
      </c>
      <c r="AU34" s="38">
        <f>IF($F34="OS-SM-1",$E34,0)</f>
        <v>0</v>
      </c>
      <c r="AV34" s="38">
        <v>543</v>
      </c>
      <c r="AW34" s="38">
        <f>IF($F34="OS-SM-1",$E34,0)</f>
        <v>0</v>
      </c>
      <c r="AX34" s="38">
        <f>IF($F34="OS-SM-1",$E34,0)</f>
        <v>0</v>
      </c>
      <c r="AY34" s="38">
        <v>543</v>
      </c>
      <c r="AZ34" s="38">
        <f>IF($F34="OS-SM-1",$E34,0)</f>
        <v>0</v>
      </c>
      <c r="BA34" s="38">
        <f>IF($F34="OS-SM-1",$E34,0)</f>
        <v>0</v>
      </c>
      <c r="BB34" s="38">
        <f>IF($F34="OS-SM-1",$E34,0)</f>
        <v>0</v>
      </c>
      <c r="BC34" s="38">
        <f>IF($F34="OS-SM-1",$E34,0)</f>
        <v>0</v>
      </c>
      <c r="BD34" s="38">
        <f>IF($F34="OS-SM-1",$E34,0)</f>
        <v>0</v>
      </c>
      <c r="BE34" s="38">
        <f>IF($F34="OS-SM-1",$E34,0)</f>
        <v>0</v>
      </c>
      <c r="BF34" s="38">
        <f>IF($F34="OS-SM-1",$E34,0)</f>
        <v>0</v>
      </c>
      <c r="BG34" s="38">
        <f>IF($F34="PC-UPC-652-2",$E34,0)</f>
        <v>0</v>
      </c>
      <c r="BH34" s="38">
        <f>IF($F34="PC-APC/UPC-652-A1",$E34,0)</f>
        <v>0</v>
      </c>
      <c r="BI34" s="38">
        <f>IF($F34="OS-SM-1",$E34,0)</f>
        <v>0</v>
      </c>
      <c r="BJ34" s="38">
        <f>IF($F34="ODC-C-144",$E34,0)</f>
        <v>0</v>
      </c>
      <c r="BK34" s="38">
        <f>IF($F34="ODC-C-288",1,0)</f>
        <v>0</v>
      </c>
      <c r="BL34" s="38">
        <f>IF($F34="ODC-PROT-144",1,0)</f>
        <v>0</v>
      </c>
      <c r="BM34" s="38">
        <f>IF($F34="ODC-PROT-288",1,0)</f>
        <v>0</v>
      </c>
      <c r="BN34" s="38">
        <f>IF($F34="ODP-CA-8",1,0)</f>
        <v>0</v>
      </c>
      <c r="BO34" s="38">
        <f>IF($F34="ODP-CA-16",1,0)</f>
        <v>0</v>
      </c>
      <c r="BP34" s="38">
        <f>IF($F34="ODP-A-8",1,0)</f>
        <v>0</v>
      </c>
      <c r="BQ34" s="38">
        <f>IF($F34="ODP-Solid-PB-8",1,0)</f>
        <v>0</v>
      </c>
      <c r="BR34" s="38">
        <f>IF($F34="ODP-Solid-PB-16",1,0)</f>
        <v>0</v>
      </c>
      <c r="BS34" s="38">
        <f>IF($F34="ODP-Solid-PB-8 AS",1,0)</f>
        <v>0</v>
      </c>
      <c r="BT34" s="38">
        <f>IF($F34="ODP-Solid-PB-16 AS",1,0)</f>
        <v>0</v>
      </c>
      <c r="BU34" s="38">
        <f>IF($F34="ODP-PL-16",1,0)</f>
        <v>0</v>
      </c>
      <c r="BV34" s="38">
        <f>IF($F34="TC-SM-12",1,0)</f>
        <v>0</v>
      </c>
      <c r="BW34" s="38">
        <f>IF($F34="TC-SM-12",1,0)</f>
        <v>0</v>
      </c>
      <c r="BX34" s="38">
        <f>IF($F34="TC-SM-48",1,0)</f>
        <v>0</v>
      </c>
      <c r="BY34" s="38">
        <f>IF($F34="TC-SM-96",1,0)</f>
        <v>0</v>
      </c>
      <c r="BZ34" s="38">
        <f>IF($F34="TC-SM-96",1,0)</f>
        <v>0</v>
      </c>
      <c r="CA34" s="38">
        <f>IF($F34="TC-SM-96",1,0)</f>
        <v>0</v>
      </c>
      <c r="CB34" s="38">
        <f>IF($F34="TC-SM-96",1,0)</f>
        <v>0</v>
      </c>
      <c r="CC34" s="38">
        <f>IF($F34="TC-SM-96",1,0)</f>
        <v>0</v>
      </c>
      <c r="CD34" s="38">
        <f>IF($F34="TC-SM-96",1,0)</f>
        <v>0</v>
      </c>
      <c r="CE34" s="38">
        <f>IF($F34="TC-SM-144",1,0)</f>
        <v>0</v>
      </c>
      <c r="CF34" s="38">
        <f>IF($F34="PS-1-4-ODC",$E34,0)</f>
        <v>0</v>
      </c>
      <c r="CG34" s="38">
        <f>IF($F34="PS-1-8-ODP",$E34,0)</f>
        <v>0</v>
      </c>
      <c r="CH34" s="38">
        <f>IF($F34="PS-1-16-ODP",1,0)</f>
        <v>0</v>
      </c>
      <c r="CI34" s="38">
        <f>IF($F34="TC-SM-96",1,0)</f>
        <v>0</v>
      </c>
      <c r="CJ34" s="38">
        <f>IF($F34="TC-SM-96",1,0)</f>
        <v>0</v>
      </c>
      <c r="CK34" s="38">
        <f>IF($F34="SITAC",1,0)</f>
        <v>0</v>
      </c>
      <c r="CL34" s="38">
        <f>IF($F34="PU-S7.0-140",1,0)</f>
        <v>0</v>
      </c>
      <c r="CM34" s="38">
        <f>IF($F34="PU-S7.0-400NM ",1,0)</f>
        <v>0</v>
      </c>
      <c r="CN34" s="38">
        <f>IF($F34="PU-S9.0-140",1,0)</f>
        <v>0</v>
      </c>
      <c r="CO34" s="38"/>
      <c r="CP34" s="38"/>
      <c r="CQ34" s="38"/>
      <c r="CR34" s="38">
        <f>IF($F34="PU-AS-SC",1,0)</f>
        <v>0</v>
      </c>
      <c r="CS34" s="38">
        <f>IF($F34="PU-AS-HL",2,0)</f>
        <v>0</v>
      </c>
      <c r="CT34" s="38"/>
      <c r="CU34" s="38">
        <f>IF($F34="PU-AS",1,0)</f>
        <v>0</v>
      </c>
      <c r="CV34" s="38">
        <f>IF($F34="GB-G1",1,0)</f>
        <v>0</v>
      </c>
      <c r="CW34" s="38">
        <f>IF($F34="GB-G3",1,0)</f>
        <v>0</v>
      </c>
      <c r="CX34" s="38"/>
      <c r="CY34" s="38">
        <f>IF($F34="TC-02-ODC",$E34,0)</f>
        <v>0</v>
      </c>
      <c r="CZ34" s="38">
        <f>IF($F34="tc-02-odc",1,0)</f>
        <v>0</v>
      </c>
      <c r="DA34" s="38">
        <f>IF($F34="tc-02-odc",1,0)</f>
        <v>0</v>
      </c>
      <c r="DB34" s="38">
        <f>IF($F34="tc-02-odc",1,0)</f>
        <v>0</v>
      </c>
      <c r="DC34" s="38">
        <f>IF($F34="tc-02-odc",1,0)</f>
        <v>0</v>
      </c>
      <c r="DD34" s="38">
        <f>IF($F34="tc-02-odc",1,0)</f>
        <v>0</v>
      </c>
      <c r="DE34" s="38">
        <f>IF($F34="tc-02-odc",1,0)</f>
        <v>0</v>
      </c>
      <c r="DF34" s="38">
        <f>IF($F34="tc-02-odc",1,0)</f>
        <v>0</v>
      </c>
      <c r="DG34" s="38">
        <f>IF($F34="tc-02-odc",1,0)</f>
        <v>0</v>
      </c>
      <c r="DH34" s="38">
        <f>IF($F34="tc-02-odc",1,0)</f>
        <v>0</v>
      </c>
      <c r="DI34" s="38">
        <f>IF($F34="tc-02-odc",1,0)</f>
        <v>0</v>
      </c>
      <c r="DJ34" s="38">
        <f>IF($F34="tc-02-odc",1,0)</f>
        <v>0</v>
      </c>
      <c r="DK34" s="38">
        <f>IF($F34="tc-02-odc",1,0)</f>
        <v>0</v>
      </c>
      <c r="DL34" s="38">
        <f>IF($F34="tc-02-odc",1,0)</f>
        <v>0</v>
      </c>
      <c r="DM34" s="38">
        <f>IF($F34="tc-02-odc",1,0)</f>
        <v>0</v>
      </c>
      <c r="DN34" s="38">
        <f>IF($F34="tc-02-odc",1,0)</f>
        <v>0</v>
      </c>
      <c r="DO34" s="38">
        <f>IF($F34="tc-02-odc",1,0)</f>
        <v>0</v>
      </c>
      <c r="DP34" s="38">
        <f>IF($F34="tc-02-odc",1,0)</f>
        <v>0</v>
      </c>
      <c r="DQ34" s="38">
        <f>IF($F34="tc-02-odc",1,0)</f>
        <v>0</v>
      </c>
      <c r="DR34" s="38">
        <f>IF($F34="tc-02-odc",1,0)</f>
        <v>0</v>
      </c>
      <c r="DS34" s="38">
        <f>IF($F34="tc-02-odc",1,0)</f>
        <v>0</v>
      </c>
      <c r="DT34" s="38">
        <f>IF($F34="tc-02-odc",1,0)</f>
        <v>0</v>
      </c>
      <c r="DU34" s="38">
        <f>IF($F34="tc-02-odc",1,0)</f>
        <v>0</v>
      </c>
      <c r="DV34" s="38">
        <f>IF($F34="tc-02-odc",1,0)</f>
        <v>0</v>
      </c>
      <c r="DW34" s="38">
        <f>IF($F34="tc-02-odc",1,0)</f>
        <v>0</v>
      </c>
      <c r="DX34" s="38">
        <f>IF($F34="tc-02-odc",1,0)</f>
        <v>0</v>
      </c>
      <c r="DY34" s="38">
        <f>IF($F34="tc-02-odc",1,0)</f>
        <v>0</v>
      </c>
      <c r="DZ34" s="38">
        <f>IF($F34="tc-02-odc",1,0)</f>
        <v>0</v>
      </c>
      <c r="EA34" s="38">
        <f>IF($F34="tc-02-odc",1,0)</f>
        <v>0</v>
      </c>
      <c r="EB34" s="38">
        <f>IF($F34="tc-02-odc",1,0)</f>
        <v>0</v>
      </c>
      <c r="EC34" s="38">
        <f>IF($F34="tc-02-odc",1,0)</f>
        <v>0</v>
      </c>
      <c r="ED34" s="38">
        <f>IF($F34="tc-02-odc",1,0)</f>
        <v>0</v>
      </c>
      <c r="EE34" s="38">
        <f>IF($F34="DCD-PVC-1",1,0)</f>
        <v>0</v>
      </c>
      <c r="EF34" s="38">
        <f>IF($F34="tc-02-odc",1,0)</f>
        <v>0</v>
      </c>
      <c r="EG34" s="38">
        <f>IF($F34="tc-02-odc",1,0)</f>
        <v>0</v>
      </c>
      <c r="EH34" s="38">
        <f>IF($F34="tc-02-odc",1,0)</f>
        <v>0</v>
      </c>
      <c r="EI34" s="38">
        <f>IF($F34="tc-02-odc",1,0)</f>
        <v>0</v>
      </c>
      <c r="EJ34" s="38">
        <f>IF($F34="tc-02-odc",1,0)</f>
        <v>0</v>
      </c>
      <c r="EK34" s="38">
        <f>IF($F34="tc-02-odc",1,0)</f>
        <v>0</v>
      </c>
      <c r="EL34" s="38">
        <f>IF($F34="tc-02-odc",1,0)</f>
        <v>0</v>
      </c>
      <c r="EM34" s="38">
        <f>IF($F34="tc-02-odc",1,0)</f>
        <v>0</v>
      </c>
      <c r="EN34" s="38">
        <f>IF($F34="DD-HDPE-40-1",$E34,0)</f>
        <v>0</v>
      </c>
      <c r="EO34" s="38">
        <f>IF($F34="DD-HDPE-40-1",$E34,0)</f>
        <v>0</v>
      </c>
      <c r="EP34" s="38">
        <f>IF($F34="DD-HDPE-50-1",$E34,0)</f>
        <v>0</v>
      </c>
      <c r="EQ34" s="38">
        <f>IF($F34="DD-HDPE-50-1",$E34,0)</f>
        <v>0</v>
      </c>
      <c r="ER34" s="38">
        <f>IF($F34="DD-HDPE-50-1",$E34,0)</f>
        <v>0</v>
      </c>
      <c r="ES34" s="38">
        <f>IF($F34="DD-HDPE-50-1",$E34,0)</f>
        <v>0</v>
      </c>
      <c r="ET34" s="38">
        <f>IF($F34="DD-HDPE-50-1",$E34,0)</f>
        <v>0</v>
      </c>
      <c r="EU34" s="38">
        <f>IF($F34="DD-HDPE-50-1",$E34,0)</f>
        <v>0</v>
      </c>
      <c r="EV34" s="38">
        <f>IF($F34="DD-HDPE-50-1",$E34,0)</f>
        <v>0</v>
      </c>
      <c r="EW34" s="38">
        <f>IF($F34="DD-HDPE-50-1",$E34,0)</f>
        <v>0</v>
      </c>
      <c r="EX34" s="38">
        <v>34</v>
      </c>
      <c r="EY34" s="38">
        <f>IF($F34="DD-HDPE-50-1",$E34,0)</f>
        <v>0</v>
      </c>
      <c r="EZ34" s="38">
        <f>IF($F34="DD-HDPE-50-1",$E34,0)</f>
        <v>0</v>
      </c>
      <c r="FA34" s="38">
        <f>IF($F34="DD-HDPE-50-1",$E34,0)</f>
        <v>0</v>
      </c>
      <c r="FB34" s="38">
        <f>IF($F34="DD-HDPE-50-1",$E34,0)</f>
        <v>0</v>
      </c>
      <c r="FC34" s="38">
        <f>IF($F34="DD-HDPE-50-1",$E34,0)</f>
        <v>0</v>
      </c>
      <c r="FD34" s="38">
        <f>IF($F34="DD-HDPE-50-1",$E34,0)</f>
        <v>0</v>
      </c>
      <c r="FE34" s="38">
        <f>IF($F34="BC-TR-5",$E34,0)</f>
        <v>0</v>
      </c>
      <c r="FF34" s="37"/>
      <c r="FG34" s="37"/>
      <c r="FH34" s="37"/>
      <c r="FI34" s="37"/>
      <c r="FJ34" s="37"/>
      <c r="FK34" s="37"/>
      <c r="FL34" s="37"/>
      <c r="FM34" s="37"/>
      <c r="FN34" s="37"/>
      <c r="FO34" s="37"/>
      <c r="FP34" s="37"/>
      <c r="FQ34" s="37"/>
      <c r="FR34" s="37"/>
      <c r="FS34" s="37"/>
      <c r="FT34" s="37"/>
      <c r="FU34" s="37"/>
      <c r="FV34" s="37"/>
      <c r="FW34" s="37"/>
      <c r="FX34" s="37"/>
      <c r="FY34" s="37"/>
      <c r="FZ34" s="37"/>
      <c r="GA34" s="37"/>
      <c r="GB34" s="37"/>
      <c r="GC34" s="37"/>
      <c r="GD34" s="37"/>
      <c r="GE34" s="37"/>
      <c r="GF34" s="37"/>
      <c r="GG34" s="37"/>
      <c r="GH34" s="37"/>
      <c r="GI34" s="37"/>
      <c r="GJ34" s="37"/>
      <c r="GK34" s="37"/>
      <c r="GL34" s="37"/>
      <c r="GM34" s="37"/>
      <c r="GN34" s="37"/>
      <c r="GO34" s="37"/>
      <c r="GP34" s="37"/>
      <c r="GQ34" s="37"/>
      <c r="GR34" s="37"/>
      <c r="GS34" s="37"/>
      <c r="GT34" s="37"/>
      <c r="GU34" s="37"/>
      <c r="GV34" s="37"/>
      <c r="GW34" s="37"/>
      <c r="GX34" s="37"/>
      <c r="GY34" s="37"/>
      <c r="GZ34" s="37"/>
      <c r="HA34" s="76"/>
      <c r="HB34" s="77"/>
      <c r="HC34" s="95">
        <f>C33</f>
        <v>0</v>
      </c>
    </row>
    <row r="35" spans="1:212" customHeight="1" ht="17.25" s="4" customFormat="1">
      <c r="A35" s="63"/>
      <c r="B35" s="101" t="s">
        <v>227</v>
      </c>
      <c r="C35" s="102"/>
      <c r="D35" s="102"/>
      <c r="E35" s="102"/>
      <c r="F35" s="103"/>
      <c r="G35" s="90">
        <f>SUM(G12:G34)</f>
        <v>0</v>
      </c>
      <c r="H35" s="90">
        <f>SUM(H12:H34)</f>
        <v>0</v>
      </c>
      <c r="I35" s="90">
        <f>SUM(I12:I34)</f>
        <v>0</v>
      </c>
      <c r="J35" s="64">
        <f>SUM(J12:J34)</f>
        <v>0</v>
      </c>
      <c r="K35" s="64">
        <f>SUM(K12:K34)</f>
        <v>0</v>
      </c>
      <c r="L35" s="64">
        <f>SUM(L12:L34)</f>
        <v>0</v>
      </c>
      <c r="M35" s="64">
        <f>SUM(M12:M34)</f>
        <v>0</v>
      </c>
      <c r="N35" s="64">
        <f>SUM(N12:N34)</f>
        <v>0</v>
      </c>
      <c r="O35" s="64">
        <f>SUM(O12:O34)</f>
        <v>0</v>
      </c>
      <c r="P35" s="64">
        <f>SUM(P12:P34)</f>
        <v>0</v>
      </c>
      <c r="Q35" s="64">
        <f>SUM(Q12:Q34)</f>
        <v>0</v>
      </c>
      <c r="R35" s="64">
        <f>SUM(R12:R34)</f>
        <v>0</v>
      </c>
      <c r="S35" s="64">
        <f>SUM(S12:S34)</f>
        <v>0</v>
      </c>
      <c r="T35" s="64">
        <f>SUM(T12:T34)</f>
        <v>0</v>
      </c>
      <c r="U35" s="64">
        <f>SUM(U12:U34)</f>
        <v>0</v>
      </c>
      <c r="V35" s="64">
        <f>SUM(V12:V34)</f>
        <v>0</v>
      </c>
      <c r="W35" s="64">
        <f>SUM(W12:W34)</f>
        <v>0</v>
      </c>
      <c r="X35" s="64">
        <f>SUM(X12:X34)</f>
        <v>0</v>
      </c>
      <c r="Y35" s="64">
        <f>SUM(Y12:Y34)</f>
        <v>0</v>
      </c>
      <c r="Z35" s="64">
        <f>SUM(Z12:Z34)</f>
        <v>0</v>
      </c>
      <c r="AA35" s="64">
        <f>SUM(AA12:AA34)</f>
        <v>0</v>
      </c>
      <c r="AB35" s="64">
        <f>SUM(AB12:AB34)</f>
        <v>0</v>
      </c>
      <c r="AC35" s="64">
        <f>SUM(AC12:AC34)</f>
        <v>0</v>
      </c>
      <c r="AD35" s="64">
        <f>SUM(AD12:AD34)</f>
        <v>0</v>
      </c>
      <c r="AE35" s="64">
        <f>SUM(AE12:AE34)</f>
        <v>0</v>
      </c>
      <c r="AF35" s="64">
        <f>SUM(AF12:AF34)</f>
        <v>0</v>
      </c>
      <c r="AG35" s="64">
        <f>SUM(AG12:AG34)</f>
        <v>0</v>
      </c>
      <c r="AH35" s="64">
        <f>SUM(AH12:AH34)</f>
        <v>0</v>
      </c>
      <c r="AI35" s="64">
        <f>SUM(AI12:AI34)</f>
        <v>0</v>
      </c>
      <c r="AJ35" s="64">
        <f>SUM(AJ12:AJ34)</f>
        <v>0</v>
      </c>
      <c r="AK35" s="64">
        <f>SUM(AK12:AK34)</f>
        <v>2120</v>
      </c>
      <c r="AL35" s="64">
        <f>SUM(AL12:AL34)</f>
        <v>0</v>
      </c>
      <c r="AM35" s="64">
        <f>SUM(AM12:AM34)</f>
        <v>0</v>
      </c>
      <c r="AN35" s="64">
        <f>SUM(AN12:AN34)</f>
        <v>0</v>
      </c>
      <c r="AO35" s="64">
        <f>SUM(AO12:AO34)</f>
        <v>0</v>
      </c>
      <c r="AP35" s="64">
        <f>SUM(AP12:AP34)</f>
        <v>2120</v>
      </c>
      <c r="AQ35" s="64">
        <f>SUM(AQ12:AQ34)</f>
        <v>0</v>
      </c>
      <c r="AR35" s="64">
        <f>SUM(AR12:AR34)</f>
        <v>0</v>
      </c>
      <c r="AS35" s="64">
        <f>SUM(AS12:AS34)</f>
        <v>0</v>
      </c>
      <c r="AT35" s="64">
        <f>SUM(AT12:AT34)</f>
        <v>2120</v>
      </c>
      <c r="AU35" s="64">
        <f>SUM(AU12:AU34)</f>
        <v>0</v>
      </c>
      <c r="AV35" s="64">
        <f>SUM(AV12:AV34)</f>
        <v>2120</v>
      </c>
      <c r="AW35" s="64">
        <f>SUM(AW12:AW34)</f>
        <v>0</v>
      </c>
      <c r="AX35" s="64">
        <f>SUM(AX12:AX34)</f>
        <v>0</v>
      </c>
      <c r="AY35" s="64">
        <f>SUM(AY12:AY34)</f>
        <v>2120</v>
      </c>
      <c r="AZ35" s="64">
        <f>SUM(AZ12:AZ34)</f>
        <v>0</v>
      </c>
      <c r="BA35" s="64">
        <f>SUM(BA12:BA34)</f>
        <v>0</v>
      </c>
      <c r="BB35" s="64">
        <f>SUM(BB12:BB34)</f>
        <v>0</v>
      </c>
      <c r="BC35" s="64">
        <f>SUM(BC12:BC34)</f>
        <v>0</v>
      </c>
      <c r="BD35" s="64">
        <f>SUM(BD12:BD34)</f>
        <v>0</v>
      </c>
      <c r="BE35" s="64">
        <f>SUM(BE12:BE34)</f>
        <v>0</v>
      </c>
      <c r="BF35" s="64">
        <f>SUM(BF12:BF34)</f>
        <v>0</v>
      </c>
      <c r="BG35" s="64">
        <f>SUM(BG12:BG34)</f>
        <v>0</v>
      </c>
      <c r="BH35" s="64">
        <f>SUM(BH12:BH34)</f>
        <v>0</v>
      </c>
      <c r="BI35" s="64">
        <f>SUM(BI12:BI34)</f>
        <v>0</v>
      </c>
      <c r="BJ35" s="64">
        <f>SUM(BJ12:BJ34)</f>
        <v>0</v>
      </c>
      <c r="BK35" s="64">
        <f>SUM(BK12:BK34)</f>
        <v>0</v>
      </c>
      <c r="BL35" s="64">
        <f>SUM(BL12:BL34)</f>
        <v>0</v>
      </c>
      <c r="BM35" s="64">
        <f>SUM(BM12:BM34)</f>
        <v>0</v>
      </c>
      <c r="BN35" s="64">
        <f>SUM(BN12:BN34)</f>
        <v>0</v>
      </c>
      <c r="BO35" s="64">
        <f>SUM(BO12:BO34)</f>
        <v>0</v>
      </c>
      <c r="BP35" s="64">
        <f>SUM(BP12:BP34)</f>
        <v>0</v>
      </c>
      <c r="BQ35" s="64">
        <f>SUM(BQ12:BQ34)</f>
        <v>0</v>
      </c>
      <c r="BR35" s="64">
        <f>SUM(BR12:BR34)</f>
        <v>0</v>
      </c>
      <c r="BS35" s="64">
        <f>SUM(BS12:BS34)</f>
        <v>0</v>
      </c>
      <c r="BT35" s="64">
        <f>SUM(BT12:BT34)</f>
        <v>0</v>
      </c>
      <c r="BU35" s="64">
        <f>SUM(BU12:BU34)</f>
        <v>0</v>
      </c>
      <c r="BV35" s="64">
        <f>SUM(BV12:BV34)</f>
        <v>0</v>
      </c>
      <c r="BW35" s="64">
        <f>SUM(BW12:BW34)</f>
        <v>0</v>
      </c>
      <c r="BX35" s="64">
        <f>SUM(BX12:BX34)</f>
        <v>0</v>
      </c>
      <c r="BY35" s="64">
        <f>SUM(BY12:BY34)</f>
        <v>0</v>
      </c>
      <c r="BZ35" s="64">
        <f>SUM(BZ12:BZ34)</f>
        <v>0</v>
      </c>
      <c r="CA35" s="64">
        <f>SUM(CA12:CA34)</f>
        <v>0</v>
      </c>
      <c r="CB35" s="64">
        <f>SUM(CB12:CB34)</f>
        <v>0</v>
      </c>
      <c r="CC35" s="64">
        <f>SUM(CC12:CC34)</f>
        <v>0</v>
      </c>
      <c r="CD35" s="64">
        <f>SUM(CD12:CD34)</f>
        <v>0</v>
      </c>
      <c r="CE35" s="64">
        <f>SUM(CE12:CE34)</f>
        <v>0</v>
      </c>
      <c r="CF35" s="64">
        <f>SUM(CF12:CF34)</f>
        <v>0</v>
      </c>
      <c r="CG35" s="64">
        <f>SUM(CG12:CG34)</f>
        <v>0</v>
      </c>
      <c r="CH35" s="64">
        <f>SUM(CH12:CH34)</f>
        <v>0</v>
      </c>
      <c r="CI35" s="64">
        <f>SUM(CI12:CI34)</f>
        <v>0</v>
      </c>
      <c r="CJ35" s="64">
        <f>SUM(CJ12:CJ34)</f>
        <v>0</v>
      </c>
      <c r="CK35" s="64">
        <f>SUM(CK12:CK34)</f>
        <v>0</v>
      </c>
      <c r="CL35" s="64">
        <f>SUM(CL12:CL34)</f>
        <v>0</v>
      </c>
      <c r="CM35" s="64">
        <f>SUM(CM12:CM34)</f>
        <v>0</v>
      </c>
      <c r="CN35" s="64">
        <f>SUM(CN12:CN34)</f>
        <v>0</v>
      </c>
      <c r="CO35" s="64">
        <f>SUM(CO12:CO34)</f>
        <v>0</v>
      </c>
      <c r="CP35" s="64">
        <f>SUM(CP12:CP34)</f>
        <v>0</v>
      </c>
      <c r="CQ35" s="64">
        <f>SUM(CQ12:CQ34)</f>
        <v>0</v>
      </c>
      <c r="CR35" s="64">
        <f>SUM(CR12:CR34)</f>
        <v>0</v>
      </c>
      <c r="CS35" s="64">
        <f>SUM(CS12:CS34)</f>
        <v>0</v>
      </c>
      <c r="CT35" s="64">
        <f>SUM(CT12:CT34)</f>
        <v>0</v>
      </c>
      <c r="CU35" s="64">
        <f>SUM(CU12:CU34)</f>
        <v>0</v>
      </c>
      <c r="CV35" s="64">
        <f>SUM(CV12:CV34)</f>
        <v>0</v>
      </c>
      <c r="CW35" s="64">
        <f>SUM(CW12:CW34)</f>
        <v>0</v>
      </c>
      <c r="CX35" s="64">
        <f>SUM(CX12:CX34)</f>
        <v>0</v>
      </c>
      <c r="CY35" s="64">
        <f>SUM(CY12:CY34)</f>
        <v>0</v>
      </c>
      <c r="CZ35" s="64">
        <f>SUM(CZ12:CZ34)</f>
        <v>0</v>
      </c>
      <c r="DA35" s="64">
        <f>SUM(DA12:DA34)</f>
        <v>0</v>
      </c>
      <c r="DB35" s="64">
        <f>SUM(DB12:DB34)</f>
        <v>0</v>
      </c>
      <c r="DC35" s="64">
        <f>SUM(DC12:DC34)</f>
        <v>0</v>
      </c>
      <c r="DD35" s="64">
        <f>SUM(DD12:DD34)</f>
        <v>0</v>
      </c>
      <c r="DE35" s="64">
        <f>SUM(DE12:DE34)</f>
        <v>0</v>
      </c>
      <c r="DF35" s="64">
        <f>SUM(DF12:DF34)</f>
        <v>0</v>
      </c>
      <c r="DG35" s="64">
        <f>SUM(DG12:DG34)</f>
        <v>0</v>
      </c>
      <c r="DH35" s="64">
        <f>SUM(DH12:DH34)</f>
        <v>0</v>
      </c>
      <c r="DI35" s="64">
        <f>SUM(DI12:DI34)</f>
        <v>0</v>
      </c>
      <c r="DJ35" s="64">
        <f>SUM(DJ12:DJ34)</f>
        <v>0</v>
      </c>
      <c r="DK35" s="64">
        <f>SUM(DK12:DK34)</f>
        <v>0</v>
      </c>
      <c r="DL35" s="64">
        <f>SUM(DL12:DL34)</f>
        <v>0</v>
      </c>
      <c r="DM35" s="64">
        <f>SUM(DM12:DM34)</f>
        <v>0</v>
      </c>
      <c r="DN35" s="64">
        <f>SUM(DN12:DN34)</f>
        <v>0</v>
      </c>
      <c r="DO35" s="64">
        <f>SUM(DO12:DO34)</f>
        <v>0</v>
      </c>
      <c r="DP35" s="64">
        <f>SUM(DP12:DP34)</f>
        <v>0</v>
      </c>
      <c r="DQ35" s="64">
        <f>SUM(DQ12:DQ34)</f>
        <v>0</v>
      </c>
      <c r="DR35" s="64">
        <f>SUM(DR12:DR34)</f>
        <v>0</v>
      </c>
      <c r="DS35" s="64">
        <f>SUM(DS12:DS34)</f>
        <v>0</v>
      </c>
      <c r="DT35" s="64">
        <f>SUM(DT12:DT34)</f>
        <v>0</v>
      </c>
      <c r="DU35" s="64">
        <f>SUM(DU12:DU34)</f>
        <v>0</v>
      </c>
      <c r="DV35" s="64">
        <f>SUM(DV12:DV34)</f>
        <v>0</v>
      </c>
      <c r="DW35" s="64">
        <f>SUM(DW12:DW34)</f>
        <v>0</v>
      </c>
      <c r="DX35" s="64">
        <f>SUM(DX12:DX34)</f>
        <v>0</v>
      </c>
      <c r="DY35" s="64">
        <f>SUM(DY12:DY34)</f>
        <v>0</v>
      </c>
      <c r="DZ35" s="64">
        <f>SUM(DZ12:DZ34)</f>
        <v>0</v>
      </c>
      <c r="EA35" s="64">
        <f>SUM(EA12:EA34)</f>
        <v>0</v>
      </c>
      <c r="EB35" s="64">
        <f>SUM(EB12:EB34)</f>
        <v>0</v>
      </c>
      <c r="EC35" s="64">
        <f>SUM(EC12:EC34)</f>
        <v>0</v>
      </c>
      <c r="ED35" s="64">
        <f>SUM(ED12:ED34)</f>
        <v>0</v>
      </c>
      <c r="EE35" s="64">
        <f>SUM(EE12:EE34)</f>
        <v>0</v>
      </c>
      <c r="EF35" s="64">
        <f>SUM(EF12:EF34)</f>
        <v>0</v>
      </c>
      <c r="EG35" s="64">
        <f>SUM(EG12:EG34)</f>
        <v>0</v>
      </c>
      <c r="EH35" s="64">
        <f>SUM(EH12:EH34)</f>
        <v>0</v>
      </c>
      <c r="EI35" s="64">
        <f>SUM(EI12:EI34)</f>
        <v>0</v>
      </c>
      <c r="EJ35" s="64">
        <f>SUM(EJ12:EJ34)</f>
        <v>0</v>
      </c>
      <c r="EK35" s="64">
        <f>SUM(EK12:EK34)</f>
        <v>0</v>
      </c>
      <c r="EL35" s="64">
        <f>SUM(EL12:EL34)</f>
        <v>0</v>
      </c>
      <c r="EM35" s="64">
        <f>SUM(EM12:EM34)</f>
        <v>0</v>
      </c>
      <c r="EN35" s="64">
        <f>SUM(EN12:EN34)</f>
        <v>0</v>
      </c>
      <c r="EO35" s="64">
        <f>SUM(EO12:EO34)</f>
        <v>0</v>
      </c>
      <c r="EP35" s="64">
        <f>SUM(EP12:EP34)</f>
        <v>0</v>
      </c>
      <c r="EQ35" s="64">
        <f>SUM(EQ12:EQ34)</f>
        <v>0</v>
      </c>
      <c r="ER35" s="64">
        <f>SUM(ER12:ER34)</f>
        <v>0</v>
      </c>
      <c r="ES35" s="64">
        <f>SUM(ES12:ES34)</f>
        <v>0</v>
      </c>
      <c r="ET35" s="64">
        <f>SUM(ET12:ET34)</f>
        <v>0</v>
      </c>
      <c r="EU35" s="64">
        <f>SUM(EU12:EU34)</f>
        <v>0</v>
      </c>
      <c r="EV35" s="64">
        <f>SUM(EV12:EV34)</f>
        <v>0</v>
      </c>
      <c r="EW35" s="64">
        <f>SUM(EW12:EW34)</f>
        <v>0</v>
      </c>
      <c r="EX35" s="64">
        <f>SUM(EX12:EX34)</f>
        <v>67</v>
      </c>
      <c r="EY35" s="64">
        <f>SUM(EY12:EY34)</f>
        <v>0</v>
      </c>
      <c r="EZ35" s="64">
        <f>SUM(EZ12:EZ34)</f>
        <v>0</v>
      </c>
      <c r="FA35" s="64">
        <f>SUM(FA12:FA34)</f>
        <v>0</v>
      </c>
      <c r="FB35" s="64">
        <f>SUM(FB12:FB34)</f>
        <v>0</v>
      </c>
      <c r="FC35" s="64">
        <f>SUM(FC12:FC34)</f>
        <v>0</v>
      </c>
      <c r="FD35" s="64">
        <f>SUM(FD12:FD34)</f>
        <v>0</v>
      </c>
      <c r="FE35" s="64">
        <f>SUM(FE12:FE34)</f>
        <v>0</v>
      </c>
      <c r="FF35" s="64">
        <f>SUM(FF12:FF34)</f>
        <v>0</v>
      </c>
      <c r="FG35" s="64">
        <f>SUM(FG12:FG34)</f>
        <v>0</v>
      </c>
      <c r="FH35" s="64">
        <f>SUM(FH12:FH34)</f>
        <v>0</v>
      </c>
      <c r="FI35" s="64">
        <f>SUM(FI12:FI34)</f>
        <v>0</v>
      </c>
      <c r="FJ35" s="64">
        <f>SUM(FJ12:FJ34)</f>
        <v>0</v>
      </c>
      <c r="FK35" s="64">
        <f>SUM(FK12:FK34)</f>
        <v>0</v>
      </c>
      <c r="FL35" s="64">
        <f>SUM(FL12:FL34)</f>
        <v>0</v>
      </c>
      <c r="FM35" s="64">
        <f>SUM(FM12:FM34)</f>
        <v>0</v>
      </c>
      <c r="FN35" s="64">
        <f>SUM(FN12:FN34)</f>
        <v>0</v>
      </c>
      <c r="FO35" s="64">
        <f>SUM(FO12:FO34)</f>
        <v>0</v>
      </c>
      <c r="FP35" s="64">
        <f>SUM(FP12:FP34)</f>
        <v>0</v>
      </c>
      <c r="FQ35" s="64">
        <f>SUM(FQ12:FQ34)</f>
        <v>0</v>
      </c>
      <c r="FR35" s="64">
        <f>SUM(FR12:FR34)</f>
        <v>0</v>
      </c>
      <c r="FS35" s="64">
        <f>SUM(FS12:FS34)</f>
        <v>0</v>
      </c>
      <c r="FT35" s="64">
        <f>SUM(FT12:FT34)</f>
        <v>0</v>
      </c>
      <c r="FU35" s="64">
        <f>SUM(FU12:FU34)</f>
        <v>0</v>
      </c>
      <c r="FV35" s="64">
        <f>SUM(FV12:FV34)</f>
        <v>0</v>
      </c>
      <c r="FW35" s="64">
        <f>SUM(FW12:FW34)</f>
        <v>0</v>
      </c>
      <c r="FX35" s="64">
        <f>SUM(FX12:FX34)</f>
        <v>0</v>
      </c>
      <c r="FY35" s="64">
        <f>SUM(FY12:FY34)</f>
        <v>0</v>
      </c>
      <c r="FZ35" s="64">
        <f>SUM(FZ12:FZ34)</f>
        <v>0</v>
      </c>
      <c r="GA35" s="64">
        <f>SUM(GA12:GA34)</f>
        <v>0</v>
      </c>
      <c r="GB35" s="64">
        <f>SUM(GB12:GB34)</f>
        <v>0</v>
      </c>
      <c r="GC35" s="64">
        <f>SUM(GC12:GC34)</f>
        <v>0</v>
      </c>
      <c r="GD35" s="64">
        <f>SUM(GD12:GD34)</f>
        <v>0</v>
      </c>
      <c r="GE35" s="64">
        <f>SUM(GE12:GE34)</f>
        <v>0</v>
      </c>
      <c r="GF35" s="64">
        <f>SUM(GF12:GF34)</f>
        <v>0</v>
      </c>
      <c r="GG35" s="64">
        <f>SUM(GG12:GG34)</f>
        <v>0</v>
      </c>
      <c r="GH35" s="64">
        <f>SUM(GH12:GH34)</f>
        <v>0</v>
      </c>
      <c r="GI35" s="64">
        <f>SUM(GI12:GI34)</f>
        <v>0</v>
      </c>
      <c r="GJ35" s="64">
        <f>SUM(GJ12:GJ34)</f>
        <v>0</v>
      </c>
      <c r="GK35" s="64">
        <f>SUM(GK12:GK34)</f>
        <v>0</v>
      </c>
      <c r="GL35" s="64">
        <f>SUM(GL12:GL34)</f>
        <v>0</v>
      </c>
      <c r="GM35" s="64">
        <f>SUM(GM12:GM34)</f>
        <v>0</v>
      </c>
      <c r="GN35" s="64">
        <f>SUM(GN12:GN34)</f>
        <v>0</v>
      </c>
      <c r="GO35" s="64">
        <f>SUM(GO12:GO34)</f>
        <v>0</v>
      </c>
      <c r="GP35" s="64">
        <f>SUM(GP12:GP34)</f>
        <v>0</v>
      </c>
      <c r="GQ35" s="64">
        <f>SUM(GQ12:GQ34)</f>
        <v>0</v>
      </c>
      <c r="GR35" s="64">
        <f>SUM(GR12:GR34)</f>
        <v>0</v>
      </c>
      <c r="GS35" s="64">
        <f>SUM(GS12:GS34)</f>
        <v>0</v>
      </c>
      <c r="GT35" s="64">
        <f>SUM(GT12:GT34)</f>
        <v>0</v>
      </c>
      <c r="GU35" s="64">
        <f>SUM(GU12:GU34)</f>
        <v>0</v>
      </c>
      <c r="GV35" s="64">
        <f>SUM(GV12:GV34)</f>
        <v>0</v>
      </c>
      <c r="GW35" s="64">
        <f>SUM(GW12:GW34)</f>
        <v>0</v>
      </c>
      <c r="GX35" s="64">
        <f>SUM(GX12:GX34)</f>
        <v>0</v>
      </c>
      <c r="GY35" s="64">
        <f>SUM(GY12:GY34)</f>
        <v>0</v>
      </c>
      <c r="GZ35" s="64">
        <f>SUM(GZ12:GZ34)</f>
        <v>0</v>
      </c>
      <c r="HA35" s="64">
        <f>SUM(HA12:HA34)</f>
        <v>0</v>
      </c>
      <c r="HB35" s="64">
        <f>SUM(HB12:HB34)</f>
        <v>0</v>
      </c>
      <c r="HC35" s="74"/>
    </row>
    <row r="36" spans="1:212" customHeight="1" ht="17.25" s="4" customFormat="1">
      <c r="A36" s="63"/>
      <c r="B36" s="104"/>
      <c r="C36" s="105"/>
      <c r="D36" s="105"/>
      <c r="E36" s="105"/>
      <c r="F36" s="106"/>
      <c r="G36" s="91"/>
      <c r="H36" s="91"/>
      <c r="I36" s="65"/>
      <c r="J36" s="65"/>
      <c r="K36" s="65"/>
      <c r="L36" s="65"/>
      <c r="M36" s="65"/>
      <c r="N36" s="65"/>
      <c r="O36" s="65"/>
      <c r="P36" s="65"/>
      <c r="Q36" s="65"/>
      <c r="R36" s="65"/>
      <c r="S36" s="65"/>
      <c r="T36" s="65"/>
      <c r="U36" s="65"/>
      <c r="V36" s="65"/>
      <c r="W36" s="65"/>
      <c r="X36" s="65"/>
      <c r="Y36" s="65"/>
      <c r="Z36" s="65"/>
      <c r="AA36" s="65"/>
      <c r="AB36" s="65"/>
      <c r="AC36" s="65"/>
      <c r="AD36" s="65"/>
      <c r="AE36" s="65"/>
      <c r="AF36" s="65"/>
      <c r="AG36" s="65"/>
      <c r="AH36" s="65"/>
      <c r="AI36" s="65"/>
      <c r="AJ36" s="65"/>
      <c r="AK36" s="65"/>
      <c r="AL36" s="65"/>
      <c r="AM36" s="65"/>
      <c r="AN36" s="65"/>
      <c r="AO36" s="65"/>
      <c r="AP36" s="65"/>
      <c r="AQ36" s="65"/>
      <c r="AR36" s="65"/>
      <c r="AS36" s="65"/>
      <c r="AT36" s="65"/>
      <c r="AU36" s="65"/>
      <c r="AV36" s="65"/>
      <c r="AW36" s="65"/>
      <c r="AX36" s="65"/>
      <c r="AY36" s="65"/>
      <c r="AZ36" s="65"/>
      <c r="BA36" s="65"/>
      <c r="BB36" s="65"/>
      <c r="BC36" s="65"/>
      <c r="BD36" s="65"/>
      <c r="BE36" s="65"/>
      <c r="BF36" s="65"/>
      <c r="BG36" s="65"/>
      <c r="BH36" s="65"/>
      <c r="BI36" s="65"/>
      <c r="BJ36" s="65"/>
      <c r="BK36" s="65"/>
      <c r="BL36" s="65"/>
      <c r="BM36" s="65"/>
      <c r="BN36" s="65"/>
      <c r="BO36" s="65"/>
      <c r="BP36" s="65"/>
      <c r="BQ36" s="65"/>
      <c r="BR36" s="65"/>
      <c r="BS36" s="65"/>
      <c r="BT36" s="65"/>
      <c r="BU36" s="65"/>
      <c r="BV36" s="65"/>
      <c r="BW36" s="65"/>
      <c r="BX36" s="65"/>
      <c r="BY36" s="65"/>
      <c r="BZ36" s="65"/>
      <c r="CA36" s="65"/>
      <c r="CB36" s="65"/>
      <c r="CC36" s="65"/>
      <c r="CD36" s="65"/>
      <c r="CE36" s="65"/>
      <c r="CF36" s="65"/>
      <c r="CG36" s="65"/>
      <c r="CH36" s="65"/>
      <c r="CI36" s="65"/>
      <c r="CJ36" s="65"/>
      <c r="CK36" s="65"/>
      <c r="CL36" s="65"/>
      <c r="CM36" s="65"/>
      <c r="CN36" s="65"/>
      <c r="CO36" s="65"/>
      <c r="CP36" s="65"/>
      <c r="CQ36" s="65"/>
      <c r="CR36" s="65"/>
      <c r="CS36" s="65"/>
      <c r="CT36" s="65"/>
      <c r="CU36" s="65"/>
      <c r="CV36" s="65"/>
      <c r="CW36" s="65"/>
      <c r="CX36" s="65"/>
      <c r="CY36" s="65"/>
      <c r="CZ36" s="65"/>
      <c r="DA36" s="65"/>
      <c r="DB36" s="65"/>
      <c r="DC36" s="65"/>
      <c r="DD36" s="65"/>
      <c r="DE36" s="65"/>
      <c r="DF36" s="65"/>
      <c r="DG36" s="65"/>
      <c r="DH36" s="65"/>
      <c r="DI36" s="65"/>
      <c r="DJ36" s="65"/>
      <c r="DK36" s="65"/>
      <c r="DL36" s="65"/>
      <c r="DM36" s="65"/>
      <c r="DN36" s="65"/>
      <c r="DO36" s="65"/>
      <c r="DP36" s="65"/>
      <c r="DQ36" s="65"/>
      <c r="DR36" s="65"/>
      <c r="DS36" s="65"/>
      <c r="DT36" s="65"/>
      <c r="DU36" s="65"/>
      <c r="DV36" s="65"/>
      <c r="DW36" s="65"/>
      <c r="DX36" s="65"/>
      <c r="DY36" s="65"/>
      <c r="DZ36" s="65"/>
      <c r="EA36" s="65"/>
      <c r="EB36" s="65"/>
      <c r="EC36" s="65"/>
      <c r="ED36" s="65"/>
      <c r="EE36" s="65"/>
      <c r="EF36" s="65"/>
      <c r="EG36" s="65"/>
      <c r="EH36" s="65"/>
      <c r="EI36" s="65"/>
      <c r="EJ36" s="65"/>
      <c r="EK36" s="65"/>
      <c r="EL36" s="65"/>
      <c r="EM36" s="65"/>
      <c r="EN36" s="65"/>
      <c r="EO36" s="65"/>
      <c r="EP36" s="65"/>
      <c r="EQ36" s="65"/>
      <c r="ER36" s="65"/>
      <c r="ES36" s="65"/>
      <c r="ET36" s="65"/>
      <c r="EU36" s="65"/>
      <c r="EV36" s="65"/>
      <c r="EW36" s="65"/>
      <c r="EX36" s="65"/>
      <c r="EY36" s="65"/>
      <c r="EZ36" s="65"/>
      <c r="FA36" s="65"/>
      <c r="FB36" s="65"/>
      <c r="FC36" s="65"/>
      <c r="FD36" s="65"/>
      <c r="FE36" s="65"/>
      <c r="FF36" s="75"/>
      <c r="FG36" s="37"/>
      <c r="FH36" s="37"/>
      <c r="FI36" s="37"/>
      <c r="FJ36" s="37"/>
      <c r="FK36" s="37"/>
      <c r="FL36" s="37"/>
      <c r="FM36" s="37"/>
      <c r="FN36" s="37"/>
      <c r="FO36" s="37"/>
      <c r="FP36" s="37"/>
      <c r="FQ36" s="37"/>
      <c r="FR36" s="37"/>
      <c r="FS36" s="37"/>
      <c r="FT36" s="37"/>
      <c r="FU36" s="37"/>
      <c r="FV36" s="37"/>
      <c r="FW36" s="37"/>
      <c r="FX36" s="37"/>
      <c r="FY36" s="37"/>
      <c r="FZ36" s="37"/>
      <c r="GA36" s="37"/>
      <c r="GB36" s="37"/>
      <c r="GC36" s="37"/>
      <c r="GD36" s="37"/>
      <c r="GE36" s="37"/>
      <c r="GF36" s="37"/>
      <c r="GG36" s="37"/>
      <c r="GH36" s="37"/>
      <c r="GI36" s="37"/>
      <c r="GJ36" s="37"/>
      <c r="GK36" s="37"/>
      <c r="GL36" s="37"/>
      <c r="GM36" s="37"/>
      <c r="GN36" s="37"/>
      <c r="GO36" s="37"/>
      <c r="GP36" s="37"/>
      <c r="GQ36" s="37"/>
      <c r="GR36" s="37"/>
      <c r="GS36" s="37"/>
      <c r="GT36" s="37"/>
      <c r="GU36" s="37"/>
      <c r="GV36" s="37"/>
      <c r="GW36" s="37"/>
      <c r="GX36" s="37"/>
      <c r="GY36" s="37"/>
      <c r="GZ36" s="37"/>
      <c r="HA36" s="76"/>
      <c r="HB36" s="77"/>
      <c r="HC36" s="74"/>
    </row>
    <row r="37" spans="1:212" customHeight="1" ht="17.25" s="4" customFormat="1">
      <c r="A37" s="63"/>
      <c r="B37" s="84"/>
      <c r="C37" s="5"/>
      <c r="D37" s="5"/>
      <c r="E37" s="5"/>
      <c r="F37" s="6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7"/>
      <c r="V37" s="7"/>
      <c r="W37" s="7"/>
      <c r="X37" s="7"/>
      <c r="Y37" s="7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75"/>
      <c r="FG37" s="37"/>
      <c r="FH37" s="37"/>
      <c r="FI37" s="37"/>
      <c r="FJ37" s="37"/>
      <c r="FK37" s="37"/>
      <c r="FL37" s="37"/>
      <c r="FM37" s="37"/>
      <c r="FN37" s="37"/>
      <c r="FO37" s="37"/>
      <c r="FP37" s="37"/>
      <c r="FQ37" s="37"/>
      <c r="FR37" s="37"/>
      <c r="FS37" s="37"/>
      <c r="FT37" s="37"/>
      <c r="FU37" s="37"/>
      <c r="FV37" s="37"/>
      <c r="FW37" s="37"/>
      <c r="FX37" s="37"/>
      <c r="FY37" s="37"/>
      <c r="FZ37" s="37"/>
      <c r="GA37" s="37"/>
      <c r="GB37" s="37"/>
      <c r="GC37" s="37"/>
      <c r="GD37" s="37"/>
      <c r="GE37" s="37"/>
      <c r="GF37" s="37"/>
      <c r="GG37" s="37"/>
      <c r="GH37" s="37"/>
      <c r="GI37" s="37"/>
      <c r="GJ37" s="37"/>
      <c r="GK37" s="37"/>
      <c r="GL37" s="37"/>
      <c r="GM37" s="37"/>
      <c r="GN37" s="37"/>
      <c r="GO37" s="37"/>
      <c r="GP37" s="37"/>
      <c r="GQ37" s="37"/>
      <c r="GR37" s="37"/>
      <c r="GS37" s="37"/>
      <c r="GT37" s="37"/>
      <c r="GU37" s="37"/>
      <c r="GV37" s="37"/>
      <c r="GW37" s="37"/>
      <c r="GX37" s="37"/>
      <c r="GY37" s="37"/>
      <c r="GZ37" s="37"/>
      <c r="HA37" s="76"/>
      <c r="HB37" s="77"/>
      <c r="HC37" s="74"/>
    </row>
    <row r="38" spans="1:212" customHeight="1" ht="17.25" s="4" customFormat="1">
      <c r="A38" s="63"/>
      <c r="B38" s="84"/>
      <c r="C38" s="5"/>
      <c r="D38" s="5"/>
      <c r="E38" s="5"/>
      <c r="F38" s="6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7"/>
      <c r="V38" s="7"/>
      <c r="W38" s="7"/>
      <c r="X38" s="7"/>
      <c r="Y38" s="7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75"/>
      <c r="FG38" s="37"/>
      <c r="FH38" s="37"/>
      <c r="FI38" s="37"/>
      <c r="FJ38" s="37"/>
      <c r="FK38" s="37"/>
      <c r="FL38" s="37"/>
      <c r="FM38" s="37"/>
      <c r="FN38" s="37"/>
      <c r="FO38" s="37"/>
      <c r="FP38" s="37"/>
      <c r="FQ38" s="37"/>
      <c r="FR38" s="37"/>
      <c r="FS38" s="37"/>
      <c r="FT38" s="37"/>
      <c r="FU38" s="37"/>
      <c r="FV38" s="37"/>
      <c r="FW38" s="37"/>
      <c r="FX38" s="37"/>
      <c r="FY38" s="37"/>
      <c r="FZ38" s="37"/>
      <c r="GA38" s="37"/>
      <c r="GB38" s="37"/>
      <c r="GC38" s="37"/>
      <c r="GD38" s="37"/>
      <c r="GE38" s="37"/>
      <c r="GF38" s="37"/>
      <c r="GG38" s="37"/>
      <c r="GH38" s="37"/>
      <c r="GI38" s="37"/>
      <c r="GJ38" s="37"/>
      <c r="GK38" s="37"/>
      <c r="GL38" s="37"/>
      <c r="GM38" s="37"/>
      <c r="GN38" s="37"/>
      <c r="GO38" s="37"/>
      <c r="GP38" s="37"/>
      <c r="GQ38" s="37"/>
      <c r="GR38" s="37"/>
      <c r="GS38" s="37"/>
      <c r="GT38" s="37"/>
      <c r="GU38" s="37"/>
      <c r="GV38" s="37"/>
      <c r="GW38" s="37"/>
      <c r="GX38" s="37"/>
      <c r="GY38" s="37"/>
      <c r="GZ38" s="37"/>
      <c r="HA38" s="76"/>
      <c r="HB38" s="77"/>
      <c r="HC38" s="74"/>
    </row>
    <row r="39" spans="1:212" customHeight="1" ht="17.25" s="4" customFormat="1">
      <c r="A39" s="63"/>
      <c r="B39" s="84"/>
      <c r="C39" s="5"/>
      <c r="D39" s="5"/>
      <c r="E39" s="5"/>
      <c r="F39" s="6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7"/>
      <c r="V39" s="7"/>
      <c r="W39" s="7"/>
      <c r="X39" s="7"/>
      <c r="Y39" s="7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64" t="e">
        <f>SUM(#REF!,#REF!,#REF!,#REF!,#REF!,#REF!,#REF!)</f>
        <v>#REF!</v>
      </c>
      <c r="FG39" s="64" t="e">
        <f>SUM(#REF!,#REF!,#REF!,#REF!,#REF!,#REF!,#REF!)</f>
        <v>#REF!</v>
      </c>
      <c r="FH39" s="64" t="e">
        <f>SUM(#REF!,#REF!,#REF!,#REF!,#REF!,#REF!,#REF!)</f>
        <v>#REF!</v>
      </c>
      <c r="FI39" s="64" t="e">
        <f>SUM(#REF!,#REF!,#REF!,#REF!,#REF!,#REF!,#REF!)</f>
        <v>#REF!</v>
      </c>
      <c r="FJ39" s="64" t="e">
        <f>SUM(#REF!,#REF!,#REF!,#REF!,#REF!,#REF!,#REF!)</f>
        <v>#REF!</v>
      </c>
      <c r="FK39" s="64" t="e">
        <f>SUM(#REF!,#REF!,#REF!,#REF!,#REF!,#REF!,#REF!)</f>
        <v>#REF!</v>
      </c>
      <c r="FL39" s="64" t="e">
        <f>SUM(#REF!,#REF!,#REF!,#REF!,#REF!,#REF!,#REF!)</f>
        <v>#REF!</v>
      </c>
      <c r="FM39" s="64" t="e">
        <f>SUM(#REF!,#REF!,#REF!,#REF!,#REF!,#REF!,#REF!)</f>
        <v>#REF!</v>
      </c>
      <c r="FN39" s="64" t="e">
        <f>SUM(#REF!,#REF!,#REF!,#REF!,#REF!,#REF!,#REF!)</f>
        <v>#REF!</v>
      </c>
      <c r="FO39" s="64" t="e">
        <f>SUM(#REF!,#REF!,#REF!,#REF!,#REF!,#REF!,#REF!)</f>
        <v>#REF!</v>
      </c>
      <c r="FP39" s="64" t="e">
        <f>SUM(#REF!,#REF!,#REF!,#REF!,#REF!,#REF!,#REF!)</f>
        <v>#REF!</v>
      </c>
      <c r="FQ39" s="64" t="e">
        <f>SUM(#REF!,#REF!,#REF!,#REF!,#REF!,#REF!,#REF!)</f>
        <v>#REF!</v>
      </c>
      <c r="FR39" s="64" t="e">
        <f>SUM(#REF!,#REF!,#REF!,#REF!,#REF!,#REF!,#REF!)</f>
        <v>#REF!</v>
      </c>
      <c r="FS39" s="64" t="e">
        <f>SUM(#REF!,#REF!,#REF!,#REF!,#REF!,#REF!,#REF!)</f>
        <v>#REF!</v>
      </c>
      <c r="FT39" s="64" t="e">
        <f>SUM(#REF!,#REF!,#REF!,#REF!,#REF!,#REF!,#REF!)</f>
        <v>#REF!</v>
      </c>
      <c r="FU39" s="64" t="e">
        <f>SUM(#REF!,#REF!,#REF!,#REF!,#REF!,#REF!,#REF!)</f>
        <v>#REF!</v>
      </c>
      <c r="FV39" s="64" t="e">
        <f>SUM(#REF!,#REF!,#REF!,#REF!,#REF!,#REF!,#REF!)</f>
        <v>#REF!</v>
      </c>
      <c r="FW39" s="64" t="e">
        <f>SUM(#REF!,#REF!,#REF!,#REF!,#REF!,#REF!,#REF!)</f>
        <v>#REF!</v>
      </c>
      <c r="FX39" s="64" t="e">
        <f>SUM(#REF!,#REF!,#REF!,#REF!,#REF!,#REF!,#REF!)</f>
        <v>#REF!</v>
      </c>
      <c r="FY39" s="64" t="e">
        <f>SUM(#REF!,#REF!,#REF!,#REF!,#REF!,#REF!,#REF!)</f>
        <v>#REF!</v>
      </c>
      <c r="FZ39" s="64" t="e">
        <f>SUM(#REF!,#REF!,#REF!,#REF!,#REF!,#REF!,#REF!)</f>
        <v>#REF!</v>
      </c>
      <c r="GA39" s="64" t="e">
        <f>SUM(#REF!,#REF!,#REF!,#REF!,#REF!,#REF!,#REF!)</f>
        <v>#REF!</v>
      </c>
      <c r="GB39" s="64" t="e">
        <f>SUM(#REF!,#REF!,#REF!,#REF!,#REF!,#REF!,#REF!)</f>
        <v>#REF!</v>
      </c>
      <c r="GC39" s="64" t="e">
        <f>SUM(#REF!,#REF!,#REF!,#REF!,#REF!,#REF!,#REF!)</f>
        <v>#REF!</v>
      </c>
      <c r="GD39" s="64" t="e">
        <f>SUM(#REF!,#REF!,#REF!,#REF!,#REF!,#REF!,#REF!)</f>
        <v>#REF!</v>
      </c>
      <c r="GE39" s="64" t="e">
        <f>SUM(#REF!,#REF!,#REF!,#REF!,#REF!,#REF!,#REF!)</f>
        <v>#REF!</v>
      </c>
      <c r="GF39" s="64" t="e">
        <f>SUM(#REF!,#REF!,#REF!,#REF!,#REF!,#REF!,#REF!)</f>
        <v>#REF!</v>
      </c>
      <c r="GG39" s="64" t="e">
        <f>SUM(#REF!,#REF!,#REF!,#REF!,#REF!,#REF!,#REF!)</f>
        <v>#REF!</v>
      </c>
      <c r="GH39" s="64" t="e">
        <f>SUM(#REF!,#REF!,#REF!,#REF!,#REF!,#REF!,#REF!)</f>
        <v>#REF!</v>
      </c>
      <c r="GI39" s="64" t="e">
        <f>SUM(#REF!,#REF!,#REF!,#REF!,#REF!,#REF!,#REF!)</f>
        <v>#REF!</v>
      </c>
      <c r="GJ39" s="64" t="e">
        <f>SUM(#REF!,#REF!,#REF!,#REF!,#REF!,#REF!,#REF!)</f>
        <v>#REF!</v>
      </c>
      <c r="GK39" s="64" t="e">
        <f>SUM(#REF!,#REF!,#REF!,#REF!,#REF!,#REF!,#REF!)</f>
        <v>#REF!</v>
      </c>
      <c r="GL39" s="64" t="e">
        <f>SUM(#REF!,#REF!,#REF!,#REF!,#REF!,#REF!,#REF!)</f>
        <v>#REF!</v>
      </c>
      <c r="GM39" s="64" t="e">
        <f>SUM(#REF!,#REF!,#REF!,#REF!,#REF!,#REF!,#REF!)</f>
        <v>#REF!</v>
      </c>
      <c r="GN39" s="64" t="e">
        <f>SUM(#REF!,#REF!,#REF!,#REF!,#REF!,#REF!,#REF!)</f>
        <v>#REF!</v>
      </c>
      <c r="GO39" s="64" t="e">
        <f>SUM(#REF!,#REF!,#REF!,#REF!,#REF!,#REF!,#REF!)</f>
        <v>#REF!</v>
      </c>
      <c r="GP39" s="64" t="e">
        <f>SUM(#REF!,#REF!,#REF!,#REF!,#REF!,#REF!,#REF!)</f>
        <v>#REF!</v>
      </c>
      <c r="GQ39" s="64" t="e">
        <f>SUM(#REF!,#REF!,#REF!,#REF!,#REF!,#REF!,#REF!)</f>
        <v>#REF!</v>
      </c>
      <c r="GR39" s="64" t="e">
        <f>SUM(#REF!,#REF!,#REF!,#REF!,#REF!,#REF!,#REF!)</f>
        <v>#REF!</v>
      </c>
      <c r="GS39" s="64" t="e">
        <f>SUM(#REF!,#REF!,#REF!,#REF!,#REF!,#REF!,#REF!)</f>
        <v>#REF!</v>
      </c>
      <c r="GT39" s="64" t="e">
        <f>SUM(#REF!,#REF!,#REF!,#REF!,#REF!,#REF!,#REF!)</f>
        <v>#REF!</v>
      </c>
      <c r="GU39" s="64" t="e">
        <f>SUM(#REF!,#REF!,#REF!,#REF!,#REF!,#REF!,#REF!)</f>
        <v>#REF!</v>
      </c>
      <c r="GV39" s="64" t="e">
        <f>SUM(#REF!,#REF!,#REF!,#REF!,#REF!,#REF!,#REF!)</f>
        <v>#REF!</v>
      </c>
      <c r="GW39" s="64" t="e">
        <f>SUM(#REF!,#REF!,#REF!,#REF!,#REF!,#REF!,#REF!)</f>
        <v>#REF!</v>
      </c>
      <c r="GX39" s="64" t="e">
        <f>SUM(#REF!,#REF!,#REF!,#REF!,#REF!,#REF!,#REF!)</f>
        <v>#REF!</v>
      </c>
      <c r="GY39" s="64" t="e">
        <f>SUM(#REF!,#REF!,#REF!,#REF!,#REF!,#REF!,#REF!)</f>
        <v>#REF!</v>
      </c>
      <c r="GZ39" s="64" t="e">
        <f>SUM(#REF!,#REF!,#REF!,#REF!,#REF!,#REF!,#REF!)</f>
        <v>#REF!</v>
      </c>
      <c r="HA39" s="64" t="e">
        <f>SUM(#REF!,#REF!,#REF!,#REF!,#REF!,#REF!,#REF!)</f>
        <v>#REF!</v>
      </c>
      <c r="HB39" s="64" t="e">
        <f>SUM(#REF!,#REF!,#REF!,#REF!,#REF!,#REF!,#REF!)</f>
        <v>#REF!</v>
      </c>
      <c r="HC39" s="74"/>
      <c r="HD39" s="5"/>
    </row>
    <row r="40" spans="1:212" customHeight="1" ht="17.25" s="4" customFormat="1">
      <c r="A40" s="63"/>
      <c r="B40" s="84"/>
      <c r="C40" s="5"/>
      <c r="D40" s="5"/>
      <c r="E40" s="5"/>
      <c r="F40" s="6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7"/>
      <c r="V40" s="7"/>
      <c r="W40" s="7"/>
      <c r="X40" s="7"/>
      <c r="Y40" s="7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65"/>
      <c r="FG40" s="65"/>
      <c r="FH40" s="65"/>
      <c r="FI40" s="65"/>
      <c r="FJ40" s="65"/>
      <c r="FK40" s="65"/>
      <c r="FL40" s="65"/>
      <c r="FM40" s="65"/>
      <c r="FN40" s="65"/>
      <c r="FO40" s="65"/>
      <c r="FP40" s="65"/>
      <c r="FQ40" s="65"/>
      <c r="FR40" s="65"/>
      <c r="FS40" s="65"/>
      <c r="FT40" s="65"/>
      <c r="FU40" s="65"/>
      <c r="FV40" s="65"/>
      <c r="FW40" s="65"/>
      <c r="FX40" s="65"/>
      <c r="FY40" s="65"/>
      <c r="FZ40" s="65"/>
      <c r="GA40" s="65"/>
      <c r="GB40" s="65"/>
      <c r="GC40" s="65"/>
      <c r="GD40" s="65"/>
      <c r="GE40" s="65"/>
      <c r="GF40" s="65"/>
      <c r="GG40" s="65"/>
      <c r="GH40" s="65"/>
      <c r="GI40" s="65"/>
      <c r="GJ40" s="65"/>
      <c r="GK40" s="65"/>
      <c r="GL40" s="65"/>
      <c r="GM40" s="65"/>
      <c r="GN40" s="65"/>
      <c r="GO40" s="65"/>
      <c r="GP40" s="65"/>
      <c r="GQ40" s="65"/>
      <c r="GR40" s="65"/>
      <c r="GS40" s="65"/>
      <c r="GT40" s="65"/>
      <c r="GU40" s="65"/>
      <c r="GV40" s="65"/>
      <c r="GW40" s="65"/>
      <c r="GX40" s="65"/>
      <c r="GY40" s="65"/>
      <c r="GZ40" s="66"/>
      <c r="HA40" s="62"/>
      <c r="HB40" s="58"/>
      <c r="HC40" s="69"/>
      <c r="HD40" s="5"/>
    </row>
  </sheetData>
  <autoFilter ref="A11:HD40"/>
  <mergeCells>
    <mergeCell ref="A8:A9"/>
    <mergeCell ref="E8:E9"/>
    <mergeCell ref="F8:F9"/>
    <mergeCell ref="B35:F36"/>
    <mergeCell ref="D2:DB2"/>
    <mergeCell ref="D7:F7"/>
    <mergeCell ref="C8:D8"/>
  </mergeCells>
  <printOptions gridLines="false" gridLinesSet="true"/>
  <pageMargins left="0.7" right="0.7" top="0.75" bottom="0.75" header="0.3" footer="0.3"/>
  <pageSetup paperSize="9" orientation="landscape" scale="72" fitToHeight="0" fitToWidth="1" pageOrder="downThenOver" r:id="rId1ps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Matrix FCR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Firman M Sidiq</dc:creator>
  <cp:lastModifiedBy>Its Recice</cp:lastModifiedBy>
  <dcterms:created xsi:type="dcterms:W3CDTF">2014-11-14T11:33:00+00:00</dcterms:created>
  <dcterms:modified xsi:type="dcterms:W3CDTF">2026-09-14T11:47:10+00:00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1057-11.2.0.9169</vt:lpwstr>
  </property>
</Properties>
</file>